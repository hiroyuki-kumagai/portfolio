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熊谷寛行\Desktop\Excelファイル\studyフォルダ\"/>
    </mc:Choice>
  </mc:AlternateContent>
  <xr:revisionPtr revIDLastSave="0" documentId="13_ncr:1_{DD53DBD1-EE2B-46BE-8798-3DEA849CB972}" xr6:coauthVersionLast="47" xr6:coauthVersionMax="47" xr10:uidLastSave="{00000000-0000-0000-0000-000000000000}"/>
  <bookViews>
    <workbookView xWindow="0" yWindow="345" windowWidth="19500" windowHeight="12390" xr2:uid="{85CE921B-5CC7-4277-81DE-C7F124D90CF6}"/>
  </bookViews>
  <sheets>
    <sheet name="見積書" sheetId="1" r:id="rId1"/>
    <sheet name="見積一覧" sheetId="2" r:id="rId2"/>
    <sheet name="顧客マスタ" sheetId="3" r:id="rId3"/>
    <sheet name="商品マスタ" sheetId="4" r:id="rId4"/>
  </sheets>
  <definedNames>
    <definedName name="グッズリスト">商品マスタ!$H$4:$K$6</definedName>
    <definedName name="家電リスト">商品マスタ!$N$4:$Q$10</definedName>
    <definedName name="検索NO">見積書!$K$17</definedName>
    <definedName name="見積NO">見積一覧!$A$3</definedName>
    <definedName name="顧客リスト">テーブル1[[取引先NO]:[郵便番号]]</definedName>
    <definedName name="食品リスト">商品マスタ!$B$4:$E$8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9" i="1" l="1"/>
  <c r="A28" i="1"/>
  <c r="A27" i="1"/>
  <c r="A26" i="1"/>
  <c r="A25" i="1"/>
  <c r="A24" i="1"/>
  <c r="A23" i="1"/>
  <c r="A22" i="1"/>
  <c r="A21" i="1"/>
  <c r="A20" i="1"/>
  <c r="A18" i="1"/>
  <c r="A19" i="1"/>
  <c r="A17" i="1"/>
  <c r="A16" i="1"/>
  <c r="G30" i="1"/>
  <c r="G18" i="1"/>
  <c r="G19" i="1"/>
  <c r="G20" i="1"/>
  <c r="G21" i="1"/>
  <c r="G22" i="1"/>
  <c r="G23" i="1"/>
  <c r="G24" i="1"/>
  <c r="G25" i="1"/>
  <c r="G26" i="1"/>
  <c r="G27" i="1"/>
  <c r="G28" i="1"/>
  <c r="G29" i="1"/>
  <c r="G17" i="1"/>
  <c r="G31" i="1" s="1"/>
  <c r="G34" i="1" s="1"/>
  <c r="G16" i="1"/>
  <c r="G32" i="1" l="1"/>
  <c r="G33" i="1" l="1"/>
  <c r="G35" i="1" s="1"/>
  <c r="B9" i="1" s="1"/>
</calcChain>
</file>

<file path=xl/sharedStrings.xml><?xml version="1.0" encoding="utf-8"?>
<sst xmlns="http://schemas.openxmlformats.org/spreadsheetml/2006/main" count="217" uniqueCount="130">
  <si>
    <t>御見積書</t>
    <rPh sb="0" eb="4">
      <t>オミツモリショ</t>
    </rPh>
    <phoneticPr fontId="1"/>
  </si>
  <si>
    <t>御中</t>
    <rPh sb="0" eb="2">
      <t>オンチュウ</t>
    </rPh>
    <phoneticPr fontId="1"/>
  </si>
  <si>
    <t>下記の通り、お見積り申し上げます。</t>
    <rPh sb="0" eb="2">
      <t>カキ</t>
    </rPh>
    <rPh sb="3" eb="4">
      <t>トオ</t>
    </rPh>
    <rPh sb="7" eb="9">
      <t>ミツモ</t>
    </rPh>
    <rPh sb="10" eb="11">
      <t>モウ</t>
    </rPh>
    <rPh sb="12" eb="13">
      <t>ア</t>
    </rPh>
    <phoneticPr fontId="1"/>
  </si>
  <si>
    <t>お見積り
金額</t>
    <rPh sb="1" eb="3">
      <t>ミツモ</t>
    </rPh>
    <rPh sb="5" eb="7">
      <t>キンガク</t>
    </rPh>
    <phoneticPr fontId="1"/>
  </si>
  <si>
    <t>(税込)</t>
    <rPh sb="1" eb="3">
      <t>ゼイコミ</t>
    </rPh>
    <phoneticPr fontId="1"/>
  </si>
  <si>
    <t>見積NO</t>
    <rPh sb="0" eb="2">
      <t>ミツモリ</t>
    </rPh>
    <phoneticPr fontId="1"/>
  </si>
  <si>
    <t>発行日</t>
    <rPh sb="0" eb="3">
      <t>ハッコウビ</t>
    </rPh>
    <phoneticPr fontId="1"/>
  </si>
  <si>
    <t>株式会社くまがい</t>
    <rPh sb="0" eb="4">
      <t>カブシキガイシャ</t>
    </rPh>
    <phoneticPr fontId="1"/>
  </si>
  <si>
    <t>〒272-0035</t>
    <phoneticPr fontId="1"/>
  </si>
  <si>
    <t>住所:千葉県市川市〇〇〇</t>
    <rPh sb="0" eb="2">
      <t>ジュウショ</t>
    </rPh>
    <rPh sb="3" eb="6">
      <t>チバケン</t>
    </rPh>
    <rPh sb="6" eb="9">
      <t>イチカワシ</t>
    </rPh>
    <phoneticPr fontId="1"/>
  </si>
  <si>
    <t>電話:047-000-0000</t>
    <rPh sb="0" eb="2">
      <t>デンワ</t>
    </rPh>
    <phoneticPr fontId="1"/>
  </si>
  <si>
    <t>メール:〇〇〇@○○.com.jp</t>
    <phoneticPr fontId="1"/>
  </si>
  <si>
    <t>納品予定日</t>
    <rPh sb="0" eb="5">
      <t>ノウヒンヨテイビ</t>
    </rPh>
    <phoneticPr fontId="1"/>
  </si>
  <si>
    <t>有効期限</t>
    <rPh sb="0" eb="4">
      <t>ユウコウキゲン</t>
    </rPh>
    <phoneticPr fontId="1"/>
  </si>
  <si>
    <t>お支払方法</t>
    <rPh sb="1" eb="5">
      <t>シハライホウホウ</t>
    </rPh>
    <phoneticPr fontId="1"/>
  </si>
  <si>
    <t>月末締め翌月末払い普通預金</t>
    <rPh sb="0" eb="2">
      <t>ゲツマツ</t>
    </rPh>
    <rPh sb="2" eb="3">
      <t>シ</t>
    </rPh>
    <rPh sb="4" eb="8">
      <t>ヨクゲツマツバラ</t>
    </rPh>
    <rPh sb="9" eb="13">
      <t>フツウヨキン</t>
    </rPh>
    <phoneticPr fontId="1"/>
  </si>
  <si>
    <t>対象計</t>
    <rPh sb="0" eb="2">
      <t>タイショウ</t>
    </rPh>
    <rPh sb="2" eb="3">
      <t>ケイ</t>
    </rPh>
    <phoneticPr fontId="1"/>
  </si>
  <si>
    <t>消費税</t>
    <rPh sb="0" eb="3">
      <t>ショウヒゼイ</t>
    </rPh>
    <phoneticPr fontId="1"/>
  </si>
  <si>
    <t>小計</t>
    <rPh sb="0" eb="2">
      <t>ショウケイ</t>
    </rPh>
    <phoneticPr fontId="1"/>
  </si>
  <si>
    <t>合計</t>
    <rPh sb="0" eb="2">
      <t>ゴウケイ</t>
    </rPh>
    <phoneticPr fontId="1"/>
  </si>
  <si>
    <t>8%(※)</t>
    <phoneticPr fontId="1"/>
  </si>
  <si>
    <t>備考</t>
    <rPh sb="0" eb="2">
      <t>ビコウ</t>
    </rPh>
    <phoneticPr fontId="1"/>
  </si>
  <si>
    <t>「※」は軽減税率対象であることを示します。</t>
    <rPh sb="4" eb="8">
      <t>ケイゲンゼイリツ</t>
    </rPh>
    <rPh sb="8" eb="10">
      <t>タイショウ</t>
    </rPh>
    <rPh sb="16" eb="17">
      <t>シメ</t>
    </rPh>
    <phoneticPr fontId="1"/>
  </si>
  <si>
    <t>商品名</t>
    <rPh sb="0" eb="3">
      <t>ショウヒンメイ</t>
    </rPh>
    <phoneticPr fontId="1"/>
  </si>
  <si>
    <t>数量</t>
    <rPh sb="0" eb="2">
      <t>スウリョウ</t>
    </rPh>
    <phoneticPr fontId="1"/>
  </si>
  <si>
    <t>単位</t>
    <rPh sb="0" eb="2">
      <t>タンイ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</si>
  <si>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</si>
  <si>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</si>
  <si>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単価(税抜)</t>
    <rPh sb="0" eb="2">
      <t>タンカ</t>
    </rPh>
    <rPh sb="3" eb="5">
      <t>ゼイヌ</t>
    </rPh>
    <phoneticPr fontId="1"/>
  </si>
  <si>
    <t>金額(税抜)</t>
    <rPh sb="0" eb="2">
      <t>キンガク</t>
    </rPh>
    <phoneticPr fontId="1"/>
  </si>
  <si>
    <t>見積一覧</t>
    <rPh sb="0" eb="2">
      <t>ミツモリ</t>
    </rPh>
    <rPh sb="2" eb="4">
      <t>イチラン</t>
    </rPh>
    <phoneticPr fontId="1"/>
  </si>
  <si>
    <t>顧客マスタ</t>
    <rPh sb="0" eb="2">
      <t>コキャク</t>
    </rPh>
    <phoneticPr fontId="1"/>
  </si>
  <si>
    <t>商品マスタ</t>
    <rPh sb="0" eb="2">
      <t>ショウヒン</t>
    </rPh>
    <phoneticPr fontId="1"/>
  </si>
  <si>
    <t>見積日</t>
    <rPh sb="0" eb="3">
      <t>ミツモリビ</t>
    </rPh>
    <phoneticPr fontId="1"/>
  </si>
  <si>
    <t>取引先NO</t>
    <rPh sb="0" eb="3">
      <t>トリヒキサキ</t>
    </rPh>
    <phoneticPr fontId="1"/>
  </si>
  <si>
    <t>取引先名</t>
    <rPh sb="0" eb="4">
      <t>トリヒキサキメイ</t>
    </rPh>
    <phoneticPr fontId="1"/>
  </si>
  <si>
    <t>軽減</t>
    <rPh sb="0" eb="2">
      <t>ケイゲン</t>
    </rPh>
    <phoneticPr fontId="1"/>
  </si>
  <si>
    <t>会社名</t>
    <rPh sb="0" eb="3">
      <t>カイシャメイ</t>
    </rPh>
    <phoneticPr fontId="1"/>
  </si>
  <si>
    <t>担当者</t>
    <rPh sb="0" eb="3">
      <t>タントウシャ</t>
    </rPh>
    <phoneticPr fontId="1"/>
  </si>
  <si>
    <t>C1001</t>
    <phoneticPr fontId="1"/>
  </si>
  <si>
    <t>C1002</t>
    <phoneticPr fontId="1"/>
  </si>
  <si>
    <t>C1003</t>
    <phoneticPr fontId="1"/>
  </si>
  <si>
    <t>C1004</t>
    <phoneticPr fontId="1"/>
  </si>
  <si>
    <t>C1005</t>
    <phoneticPr fontId="1"/>
  </si>
  <si>
    <t>いちかわ商事株式会社</t>
    <rPh sb="4" eb="6">
      <t>ショウジ</t>
    </rPh>
    <rPh sb="6" eb="10">
      <t>カブシキガイシャ</t>
    </rPh>
    <phoneticPr fontId="1"/>
  </si>
  <si>
    <t>株式会社中山物産</t>
    <rPh sb="0" eb="4">
      <t>カブシキガイシャ</t>
    </rPh>
    <rPh sb="4" eb="6">
      <t>ナカヤマ</t>
    </rPh>
    <rPh sb="6" eb="8">
      <t>ブッサン</t>
    </rPh>
    <phoneticPr fontId="1"/>
  </si>
  <si>
    <t>MOTOYAWATA株式会社</t>
    <rPh sb="10" eb="14">
      <t>カブシキガイシャ</t>
    </rPh>
    <phoneticPr fontId="1"/>
  </si>
  <si>
    <t>株式会社ギョウトク</t>
    <rPh sb="0" eb="4">
      <t>カブシキガイシャ</t>
    </rPh>
    <phoneticPr fontId="1"/>
  </si>
  <si>
    <t>株式会社SGN</t>
    <rPh sb="0" eb="4">
      <t>カブシキガイシャ</t>
    </rPh>
    <phoneticPr fontId="1"/>
  </si>
  <si>
    <t>新田　一郎</t>
    <rPh sb="0" eb="2">
      <t>シンデン</t>
    </rPh>
    <rPh sb="3" eb="5">
      <t>イチロウ</t>
    </rPh>
    <phoneticPr fontId="1"/>
  </si>
  <si>
    <t>原木　悟</t>
    <rPh sb="0" eb="2">
      <t>ハラキ</t>
    </rPh>
    <rPh sb="3" eb="4">
      <t>サトル</t>
    </rPh>
    <phoneticPr fontId="1"/>
  </si>
  <si>
    <t>鬼越　正人</t>
    <rPh sb="0" eb="2">
      <t>オニゴ</t>
    </rPh>
    <rPh sb="3" eb="5">
      <t>マサト</t>
    </rPh>
    <phoneticPr fontId="1"/>
  </si>
  <si>
    <t>南　庄之助</t>
    <rPh sb="0" eb="1">
      <t>ミナミ</t>
    </rPh>
    <rPh sb="2" eb="5">
      <t>ショウノスケ</t>
    </rPh>
    <phoneticPr fontId="1"/>
  </si>
  <si>
    <t>菅野　白太</t>
    <rPh sb="0" eb="2">
      <t>スガノ</t>
    </rPh>
    <rPh sb="3" eb="4">
      <t>シロ</t>
    </rPh>
    <rPh sb="4" eb="5">
      <t>タ</t>
    </rPh>
    <phoneticPr fontId="1"/>
  </si>
  <si>
    <t>商品NO</t>
    <rPh sb="0" eb="2">
      <t>ショウヒン</t>
    </rPh>
    <phoneticPr fontId="1"/>
  </si>
  <si>
    <t>商品名(商品コード)</t>
    <rPh sb="0" eb="3">
      <t>ショウヒンメイ</t>
    </rPh>
    <rPh sb="4" eb="6">
      <t>ショウヒン</t>
    </rPh>
    <phoneticPr fontId="1"/>
  </si>
  <si>
    <t>※</t>
    <phoneticPr fontId="1"/>
  </si>
  <si>
    <t>軽
減</t>
    <rPh sb="0" eb="1">
      <t>ケイ</t>
    </rPh>
    <phoneticPr fontId="1"/>
  </si>
  <si>
    <t>千葉お土産ぶくろ[E0001]</t>
    <rPh sb="0" eb="2">
      <t>チバ</t>
    </rPh>
    <rPh sb="3" eb="5">
      <t>ミヤゲ</t>
    </rPh>
    <phoneticPr fontId="1"/>
  </si>
  <si>
    <t>E0001</t>
    <phoneticPr fontId="1"/>
  </si>
  <si>
    <t>八街ピーナッツ[E0002]</t>
    <rPh sb="0" eb="2">
      <t>ヤチマタ</t>
    </rPh>
    <phoneticPr fontId="1"/>
  </si>
  <si>
    <t>E0002</t>
    <phoneticPr fontId="1"/>
  </si>
  <si>
    <t>E0003</t>
    <phoneticPr fontId="1"/>
  </si>
  <si>
    <t>E0004</t>
    <phoneticPr fontId="1"/>
  </si>
  <si>
    <t>E0005</t>
    <phoneticPr fontId="1"/>
  </si>
  <si>
    <t>G0001</t>
    <phoneticPr fontId="1"/>
  </si>
  <si>
    <t>G0002</t>
    <phoneticPr fontId="1"/>
  </si>
  <si>
    <t>E0035</t>
    <phoneticPr fontId="1"/>
  </si>
  <si>
    <t>電動式五枚刃のこぎり[E0035]</t>
    <phoneticPr fontId="1"/>
  </si>
  <si>
    <t>房州びわ[E0003]</t>
    <rPh sb="0" eb="2">
      <t>ボウシュウ</t>
    </rPh>
    <phoneticPr fontId="1"/>
  </si>
  <si>
    <t>銚子ぬれ煎餅[E0004]</t>
  </si>
  <si>
    <t>銚子ぬれ煎餅[E0004]</t>
    <rPh sb="0" eb="2">
      <t>チョウシ</t>
    </rPh>
    <rPh sb="4" eb="6">
      <t>センベイ</t>
    </rPh>
    <phoneticPr fontId="1"/>
  </si>
  <si>
    <t>富里スイカ[E0005]</t>
    <rPh sb="0" eb="2">
      <t>トミサト</t>
    </rPh>
    <phoneticPr fontId="1"/>
  </si>
  <si>
    <t>チーバくんバッグ[G0001]</t>
    <phoneticPr fontId="1"/>
  </si>
  <si>
    <t>チーバくんシューズ[G0002]</t>
    <phoneticPr fontId="1"/>
  </si>
  <si>
    <t>※</t>
  </si>
  <si>
    <t>家電</t>
    <rPh sb="0" eb="2">
      <t>カデン</t>
    </rPh>
    <phoneticPr fontId="1"/>
  </si>
  <si>
    <t>グッズ</t>
    <phoneticPr fontId="1"/>
  </si>
  <si>
    <t>食品</t>
    <rPh sb="0" eb="2">
      <t>ショクヒン</t>
    </rPh>
    <phoneticPr fontId="1"/>
  </si>
  <si>
    <t>鮮度長期継続冷蔵庫[E0036]</t>
    <rPh sb="0" eb="2">
      <t>センド</t>
    </rPh>
    <rPh sb="2" eb="4">
      <t>チョウキ</t>
    </rPh>
    <rPh sb="4" eb="6">
      <t>ケイゾク</t>
    </rPh>
    <rPh sb="6" eb="9">
      <t>レイゾウコ</t>
    </rPh>
    <phoneticPr fontId="1"/>
  </si>
  <si>
    <t>E0036</t>
    <phoneticPr fontId="1"/>
  </si>
  <si>
    <t>スイカ皮の鎧[G0003]</t>
    <rPh sb="3" eb="4">
      <t>カワ</t>
    </rPh>
    <rPh sb="5" eb="6">
      <t>ヨロイ</t>
    </rPh>
    <phoneticPr fontId="1"/>
  </si>
  <si>
    <t>G0003</t>
    <phoneticPr fontId="1"/>
  </si>
  <si>
    <t>NO</t>
    <phoneticPr fontId="1"/>
  </si>
  <si>
    <t>住所</t>
    <rPh sb="0" eb="2">
      <t>ジュウショ</t>
    </rPh>
    <phoneticPr fontId="1"/>
  </si>
  <si>
    <t>郵便番号</t>
    <rPh sb="0" eb="4">
      <t>ユウビンバンゴウ</t>
    </rPh>
    <phoneticPr fontId="1"/>
  </si>
  <si>
    <t>台</t>
    <rPh sb="0" eb="1">
      <t>ダイ</t>
    </rPh>
    <phoneticPr fontId="1"/>
  </si>
  <si>
    <t>個</t>
    <rPh sb="0" eb="1">
      <t>コ</t>
    </rPh>
    <phoneticPr fontId="1"/>
  </si>
  <si>
    <t>足</t>
    <rPh sb="0" eb="1">
      <t>ソク</t>
    </rPh>
    <phoneticPr fontId="1"/>
  </si>
  <si>
    <t>袋</t>
  </si>
  <si>
    <t>袋</t>
    <rPh sb="0" eb="1">
      <t>フクロ</t>
    </rPh>
    <phoneticPr fontId="1"/>
  </si>
  <si>
    <t>玉</t>
    <rPh sb="0" eb="1">
      <t>タマ</t>
    </rPh>
    <phoneticPr fontId="1"/>
  </si>
  <si>
    <t>箱</t>
    <rPh sb="0" eb="1">
      <t>ハコ</t>
    </rPh>
    <phoneticPr fontId="1"/>
  </si>
  <si>
    <t>〒272-0035</t>
  </si>
  <si>
    <t>‐</t>
    <phoneticPr fontId="1"/>
  </si>
  <si>
    <t>C1001</t>
  </si>
  <si>
    <t>いちかわ商事株式会社</t>
  </si>
  <si>
    <t>千葉お土産ぶくろ[E0001]</t>
  </si>
  <si>
    <t>富里スイカ[E0005]</t>
  </si>
  <si>
    <t>玉</t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</si>
  <si>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</si>
  <si>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</si>
  <si>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</si>
  <si>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</si>
  <si>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</si>
  <si>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房州びわ[E0003]</t>
  </si>
  <si>
    <t>箱</t>
  </si>
  <si>
    <t>‐</t>
  </si>
  <si>
    <t>台</t>
  </si>
  <si>
    <t>鮮度長期継続冷蔵庫[E0036]</t>
  </si>
  <si>
    <t>千葉県市川市市川</t>
  </si>
  <si>
    <t>千葉県市川市市川</t>
    <rPh sb="0" eb="6">
      <t>チバケンイチカワシ</t>
    </rPh>
    <rPh sb="6" eb="8">
      <t>イチカワ</t>
    </rPh>
    <phoneticPr fontId="1"/>
  </si>
  <si>
    <t>千葉県市川市本中山</t>
    <rPh sb="0" eb="6">
      <t>チバケンイチカワシ</t>
    </rPh>
    <rPh sb="6" eb="9">
      <t>モトナカヤマ</t>
    </rPh>
    <phoneticPr fontId="1"/>
  </si>
  <si>
    <t>千葉県市川市八幡</t>
  </si>
  <si>
    <t>千葉県市川市八幡</t>
    <rPh sb="0" eb="6">
      <t>チバケンイチカワシ</t>
    </rPh>
    <rPh sb="6" eb="8">
      <t>ヤワタ</t>
    </rPh>
    <phoneticPr fontId="1"/>
  </si>
  <si>
    <t>千葉県市川市南行徳</t>
  </si>
  <si>
    <t>千葉県市川市南行徳</t>
    <rPh sb="0" eb="6">
      <t>チバケンイチカワシ</t>
    </rPh>
    <rPh sb="6" eb="9">
      <t>ミナミギョウトク</t>
    </rPh>
    <phoneticPr fontId="1"/>
  </si>
  <si>
    <t>千葉県市川市菅野</t>
    <rPh sb="0" eb="6">
      <t>チバケンイチカワシ</t>
    </rPh>
    <rPh sb="6" eb="8">
      <t>スガノ</t>
    </rPh>
    <phoneticPr fontId="1"/>
  </si>
  <si>
    <t>C1004</t>
  </si>
  <si>
    <t>株式会社ギョウトク</t>
  </si>
  <si>
    <t>電動式五枚刃のこぎり[E0035]</t>
  </si>
  <si>
    <t>C1003</t>
  </si>
  <si>
    <t>MOTOYAWATA株式会社</t>
  </si>
  <si>
    <t>チーバくんバッグ[G0001]</t>
  </si>
  <si>
    <t>個</t>
  </si>
  <si>
    <t>チーバくんシューズ[G0002]</t>
  </si>
  <si>
    <t>足</t>
  </si>
  <si>
    <t>検索NO</t>
    <rPh sb="0" eb="2">
      <t>ケンサク</t>
    </rPh>
    <phoneticPr fontId="1"/>
  </si>
  <si>
    <t>八街ピーナッツ[E0002]</t>
  </si>
  <si>
    <t>スイカ皮の鎧[G0003]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</si>
</sst>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¥&quot;#,##0;&quot;¥&quot;\-#,##0"/>
    <numFmt numFmtId="176" formatCode="&quot;¥&quot;#,##0_);[Red]\(&quot;¥&quot;#,##0\)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22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6"/>
      <color theme="0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b/>
      <sz val="11"/>
      <color rgb="FFFFFF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9.9978637043366805E-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</fills>
  <borders count="39">
    <border>
      <left/>
      <right/>
      <top/>
      <bottom/>
      <diagonal/>
    </border>
    <border>
      <left style="medium">
        <color theme="3" tint="0.249977111117893"/>
      </left>
      <right/>
      <top style="medium">
        <color theme="3" tint="0.249977111117893"/>
      </top>
      <bottom style="medium">
        <color theme="3" tint="0.249977111117893"/>
      </bottom>
      <diagonal/>
    </border>
    <border>
      <left/>
      <right/>
      <top style="medium">
        <color theme="3" tint="0.249977111117893"/>
      </top>
      <bottom style="medium">
        <color theme="3" tint="0.249977111117893"/>
      </bottom>
      <diagonal/>
    </border>
    <border>
      <left/>
      <right style="medium">
        <color theme="3" tint="0.249977111117893"/>
      </right>
      <top style="medium">
        <color theme="3" tint="0.249977111117893"/>
      </top>
      <bottom style="medium">
        <color theme="3" tint="0.249977111117893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3" tint="0.749992370372631"/>
      </right>
      <top style="thin">
        <color theme="1"/>
      </top>
      <bottom style="thin">
        <color theme="0"/>
      </bottom>
      <diagonal/>
    </border>
    <border>
      <left style="thin">
        <color theme="3" tint="0.749992370372631"/>
      </left>
      <right style="thin">
        <color theme="3" tint="0.74999237037263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3" tint="0.749992370372631"/>
      </right>
      <top style="thin">
        <color theme="0"/>
      </top>
      <bottom style="thin">
        <color theme="0"/>
      </bottom>
      <diagonal/>
    </border>
    <border>
      <left style="thin">
        <color theme="3" tint="0.749992370372631"/>
      </left>
      <right style="thin">
        <color theme="3" tint="0.749992370372631"/>
      </right>
      <top style="thin">
        <color theme="0"/>
      </top>
      <bottom style="thin">
        <color theme="0"/>
      </bottom>
      <diagonal/>
    </border>
    <border>
      <left/>
      <right style="thin">
        <color theme="3" tint="0.749992370372631"/>
      </right>
      <top style="thin">
        <color theme="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 style="thin">
        <color theme="3" tint="0.749992370372631"/>
      </right>
      <top/>
      <bottom style="thin">
        <color theme="0"/>
      </bottom>
      <diagonal/>
    </border>
    <border>
      <left style="thin">
        <color theme="3" tint="0.749992370372631"/>
      </left>
      <right style="thin">
        <color theme="3" tint="0.749992370372631"/>
      </right>
      <top style="thin">
        <color theme="0"/>
      </top>
      <bottom style="thin">
        <color theme="3" tint="0.749992370372631"/>
      </bottom>
      <diagonal/>
    </border>
    <border>
      <left style="thin">
        <color theme="3" tint="0.749992370372631"/>
      </left>
      <right style="thin">
        <color theme="1"/>
      </right>
      <top style="thin">
        <color theme="0"/>
      </top>
      <bottom style="thin">
        <color theme="3" tint="0.749992370372631"/>
      </bottom>
      <diagonal/>
    </border>
    <border>
      <left style="thin">
        <color theme="3" tint="0.749992370372631"/>
      </left>
      <right style="thin">
        <color theme="1"/>
      </right>
      <top style="thin">
        <color theme="1"/>
      </top>
      <bottom style="thin">
        <color theme="3" tint="0.749992370372631"/>
      </bottom>
      <diagonal/>
    </border>
    <border>
      <left style="thin">
        <color theme="3" tint="0.749992370372631"/>
      </left>
      <right style="thin">
        <color theme="3" tint="0.749992370372631"/>
      </right>
      <top style="thin">
        <color theme="1"/>
      </top>
      <bottom style="thin">
        <color theme="3" tint="0.74999237037263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3" tint="0.74999237037263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3" tint="0.749992370372631"/>
      </left>
      <right style="thin">
        <color theme="1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1">
    <xf numFmtId="0" fontId="0" fillId="0" borderId="0" xfId="0">
      <alignment vertical="center"/>
    </xf>
    <xf numFmtId="0" fontId="0" fillId="0" borderId="0" xfId="0" applyAlignment="1">
      <alignment horizontal="centerContinuous"/>
    </xf>
    <xf numFmtId="0" fontId="3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top"/>
    </xf>
    <xf numFmtId="0" fontId="0" fillId="0" borderId="2" xfId="0" applyBorder="1" applyAlignment="1">
      <alignment vertical="top" readingOrder="1"/>
    </xf>
    <xf numFmtId="0" fontId="2" fillId="2" borderId="3" xfId="0" applyFont="1" applyFill="1" applyBorder="1" applyAlignment="1">
      <alignment vertical="center" readingOrder="1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9" fillId="0" borderId="0" xfId="0" applyFont="1" applyAlignment="1">
      <alignment vertical="top"/>
    </xf>
    <xf numFmtId="0" fontId="0" fillId="3" borderId="0" xfId="0" applyFill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10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0" borderId="4" xfId="0" applyBorder="1" applyAlignment="1">
      <alignment horizontal="centerContinuous" vertical="center"/>
    </xf>
    <xf numFmtId="0" fontId="10" fillId="0" borderId="4" xfId="0" applyFont="1" applyBorder="1" applyAlignment="1">
      <alignment horizontal="centerContinuous" vertical="center"/>
    </xf>
    <xf numFmtId="0" fontId="0" fillId="4" borderId="0" xfId="0" applyFill="1" applyAlignment="1">
      <alignment horizontal="centerContinuous" vertical="center"/>
    </xf>
    <xf numFmtId="0" fontId="11" fillId="4" borderId="4" xfId="0" applyFont="1" applyFill="1" applyBorder="1" applyAlignment="1">
      <alignment horizontal="centerContinuous" vertical="center"/>
    </xf>
    <xf numFmtId="0" fontId="7" fillId="4" borderId="6" xfId="0" applyFont="1" applyFill="1" applyBorder="1" applyAlignment="1">
      <alignment horizontal="centerContinuous" vertical="center"/>
    </xf>
    <xf numFmtId="0" fontId="12" fillId="4" borderId="7" xfId="0" applyFont="1" applyFill="1" applyBorder="1" applyAlignment="1">
      <alignment horizontal="centerContinuous" vertical="center"/>
    </xf>
    <xf numFmtId="0" fontId="13" fillId="4" borderId="18" xfId="0" applyFont="1" applyFill="1" applyBorder="1" applyAlignment="1">
      <alignment horizontal="centerContinuous" vertical="center"/>
    </xf>
    <xf numFmtId="0" fontId="0" fillId="4" borderId="19" xfId="0" applyFill="1" applyBorder="1" applyAlignment="1">
      <alignment horizontal="centerContinuous" vertical="center"/>
    </xf>
    <xf numFmtId="0" fontId="0" fillId="4" borderId="20" xfId="0" applyFill="1" applyBorder="1" applyAlignment="1">
      <alignment horizontal="centerContinuous"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 applyAlignment="1">
      <alignment horizontal="centerContinuous" vertical="center"/>
    </xf>
    <xf numFmtId="0" fontId="0" fillId="0" borderId="26" xfId="0" applyBorder="1" applyAlignment="1">
      <alignment horizontal="centerContinuous" vertical="center"/>
    </xf>
    <xf numFmtId="9" fontId="0" fillId="0" borderId="27" xfId="0" applyNumberFormat="1" applyBorder="1" applyAlignment="1">
      <alignment horizontal="right" vertical="center"/>
    </xf>
    <xf numFmtId="0" fontId="0" fillId="0" borderId="27" xfId="0" applyBorder="1" applyAlignment="1">
      <alignment horizontal="right" vertical="center"/>
    </xf>
    <xf numFmtId="9" fontId="0" fillId="0" borderId="28" xfId="0" applyNumberFormat="1" applyBorder="1">
      <alignment vertical="center"/>
    </xf>
    <xf numFmtId="9" fontId="0" fillId="0" borderId="31" xfId="0" applyNumberFormat="1" applyBorder="1">
      <alignment vertical="center"/>
    </xf>
    <xf numFmtId="0" fontId="11" fillId="4" borderId="17" xfId="0" applyFont="1" applyFill="1" applyBorder="1" applyAlignment="1">
      <alignment horizontal="center" vertical="center"/>
    </xf>
    <xf numFmtId="0" fontId="11" fillId="4" borderId="16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5" fontId="0" fillId="0" borderId="22" xfId="0" applyNumberFormat="1" applyBorder="1">
      <alignment vertical="center"/>
    </xf>
    <xf numFmtId="5" fontId="0" fillId="2" borderId="10" xfId="0" applyNumberFormat="1" applyFill="1" applyBorder="1">
      <alignment vertical="center"/>
    </xf>
    <xf numFmtId="5" fontId="0" fillId="2" borderId="11" xfId="0" applyNumberFormat="1" applyFill="1" applyBorder="1">
      <alignment vertical="center"/>
    </xf>
    <xf numFmtId="5" fontId="0" fillId="0" borderId="24" xfId="0" applyNumberFormat="1" applyBorder="1">
      <alignment vertical="center"/>
    </xf>
    <xf numFmtId="5" fontId="0" fillId="0" borderId="5" xfId="0" applyNumberFormat="1" applyBorder="1">
      <alignment vertical="center"/>
    </xf>
    <xf numFmtId="5" fontId="0" fillId="2" borderId="13" xfId="0" applyNumberFormat="1" applyFill="1" applyBorder="1">
      <alignment vertical="center"/>
    </xf>
    <xf numFmtId="5" fontId="0" fillId="2" borderId="14" xfId="0" applyNumberFormat="1" applyFill="1" applyBorder="1">
      <alignment vertical="center"/>
    </xf>
    <xf numFmtId="5" fontId="0" fillId="0" borderId="30" xfId="0" applyNumberFormat="1" applyBorder="1">
      <alignment vertical="center"/>
    </xf>
    <xf numFmtId="5" fontId="0" fillId="0" borderId="29" xfId="0" applyNumberFormat="1" applyBorder="1">
      <alignment vertical="center"/>
    </xf>
    <xf numFmtId="0" fontId="14" fillId="0" borderId="22" xfId="0" applyFont="1" applyBorder="1" applyAlignment="1">
      <alignment vertical="center" shrinkToFit="1"/>
    </xf>
    <xf numFmtId="0" fontId="15" fillId="2" borderId="10" xfId="0" applyFont="1" applyFill="1" applyBorder="1" applyAlignment="1">
      <alignment vertical="center" shrinkToFit="1"/>
    </xf>
    <xf numFmtId="0" fontId="15" fillId="0" borderId="24" xfId="0" applyFont="1" applyBorder="1" applyAlignment="1">
      <alignment vertical="center" shrinkToFit="1"/>
    </xf>
    <xf numFmtId="0" fontId="15" fillId="2" borderId="13" xfId="0" applyFont="1" applyFill="1" applyBorder="1" applyAlignment="1">
      <alignment vertical="center" shrinkToFit="1"/>
    </xf>
    <xf numFmtId="0" fontId="0" fillId="5" borderId="0" xfId="0" applyFill="1">
      <alignment vertical="center"/>
    </xf>
    <xf numFmtId="0" fontId="0" fillId="0" borderId="7" xfId="0" applyBorder="1" applyAlignment="1">
      <alignment vertical="center" shrinkToFit="1"/>
    </xf>
    <xf numFmtId="0" fontId="0" fillId="0" borderId="32" xfId="0" applyBorder="1" applyAlignment="1">
      <alignment vertical="center" shrinkToFit="1"/>
    </xf>
    <xf numFmtId="14" fontId="0" fillId="0" borderId="7" xfId="0" applyNumberFormat="1" applyBorder="1">
      <alignment vertical="center"/>
    </xf>
    <xf numFmtId="0" fontId="9" fillId="0" borderId="32" xfId="0" applyFont="1" applyBorder="1" applyAlignment="1">
      <alignment horizontal="right" vertical="center"/>
    </xf>
    <xf numFmtId="0" fontId="0" fillId="0" borderId="32" xfId="0" applyBorder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 vertical="center"/>
    </xf>
    <xf numFmtId="5" fontId="5" fillId="0" borderId="2" xfId="0" applyNumberFormat="1" applyFont="1" applyBorder="1" applyAlignment="1">
      <alignment horizontal="right" vertical="center" readingOrder="1"/>
    </xf>
    <xf numFmtId="0" fontId="16" fillId="4" borderId="16" xfId="0" applyFont="1" applyFill="1" applyBorder="1" applyAlignment="1">
      <alignment horizontal="center" vertical="center" wrapText="1"/>
    </xf>
    <xf numFmtId="5" fontId="0" fillId="0" borderId="34" xfId="0" applyNumberFormat="1" applyBorder="1">
      <alignment vertical="center"/>
    </xf>
    <xf numFmtId="5" fontId="0" fillId="0" borderId="0" xfId="0" applyNumberFormat="1">
      <alignment vertical="center"/>
    </xf>
    <xf numFmtId="0" fontId="10" fillId="0" borderId="0" xfId="0" applyFont="1">
      <alignment vertical="center"/>
    </xf>
    <xf numFmtId="0" fontId="17" fillId="2" borderId="1" xfId="0" applyFont="1" applyFill="1" applyBorder="1" applyAlignment="1">
      <alignment vertical="center" wrapText="1"/>
    </xf>
    <xf numFmtId="0" fontId="0" fillId="0" borderId="33" xfId="0" applyBorder="1">
      <alignment vertical="center"/>
    </xf>
    <xf numFmtId="0" fontId="0" fillId="0" borderId="35" xfId="0" applyBorder="1">
      <alignment vertical="center"/>
    </xf>
    <xf numFmtId="0" fontId="0" fillId="6" borderId="33" xfId="0" applyFill="1" applyBorder="1">
      <alignment vertical="center"/>
    </xf>
    <xf numFmtId="0" fontId="0" fillId="6" borderId="35" xfId="0" applyFill="1" applyBorder="1">
      <alignment vertical="center"/>
    </xf>
    <xf numFmtId="0" fontId="18" fillId="7" borderId="0" xfId="0" applyFont="1" applyFill="1">
      <alignment vertical="center"/>
    </xf>
    <xf numFmtId="0" fontId="18" fillId="7" borderId="36" xfId="0" applyFont="1" applyFill="1" applyBorder="1">
      <alignment vertical="center"/>
    </xf>
    <xf numFmtId="5" fontId="0" fillId="0" borderId="37" xfId="0" applyNumberFormat="1" applyBorder="1">
      <alignment vertical="center"/>
    </xf>
    <xf numFmtId="176" fontId="0" fillId="0" borderId="0" xfId="0" applyNumberFormat="1">
      <alignment vertical="center"/>
    </xf>
    <xf numFmtId="176" fontId="0" fillId="5" borderId="0" xfId="0" applyNumberFormat="1" applyFill="1">
      <alignment vertical="center"/>
    </xf>
    <xf numFmtId="0" fontId="0" fillId="8" borderId="38" xfId="0" applyFill="1" applyBorder="1">
      <alignment vertical="center"/>
    </xf>
    <xf numFmtId="0" fontId="19" fillId="9" borderId="38" xfId="0" applyFont="1" applyFill="1" applyBorder="1">
      <alignment vertical="center"/>
    </xf>
  </cellXfs>
  <cellStyles count="1">
    <cellStyle name="標準" xfId="0" builtinId="0"/>
  </cellStyles>
  <dxfs count="11">
    <dxf>
      <numFmt numFmtId="9" formatCode="&quot;¥&quot;#,##0;&quot;¥&quot;\-#,##0"/>
    </dxf>
    <dxf>
      <numFmt numFmtId="9" formatCode="&quot;¥&quot;#,##0;&quot;¥&quot;\-#,##0"/>
    </dxf>
    <dxf>
      <numFmt numFmtId="9" formatCode="&quot;¥&quot;#,##0;&quot;¥&quot;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fill>
        <patternFill patternType="solid">
          <fgColor theme="4" tint="0.79998168889431442"/>
          <bgColor theme="3" tint="9.9978637043366805E-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0</xdr:row>
      <xdr:rowOff>352425</xdr:rowOff>
    </xdr:from>
    <xdr:to>
      <xdr:col>9</xdr:col>
      <xdr:colOff>95250</xdr:colOff>
      <xdr:row>3</xdr:row>
      <xdr:rowOff>142875</xdr:rowOff>
    </xdr:to>
    <xdr:sp macro="[0]!Sheet1.データクリア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EF46B33-1D7C-727C-51E6-F9D4DEAA0CD4}"/>
            </a:ext>
          </a:extLst>
        </xdr:cNvPr>
        <xdr:cNvSpPr/>
      </xdr:nvSpPr>
      <xdr:spPr>
        <a:xfrm>
          <a:off x="6010275" y="352425"/>
          <a:ext cx="1171575" cy="6477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chemeClr val="tx1"/>
              </a:solidFill>
            </a:rPr>
            <a:t>データクリア</a:t>
          </a:r>
        </a:p>
      </xdr:txBody>
    </xdr:sp>
    <xdr:clientData/>
  </xdr:twoCellAnchor>
  <xdr:twoCellAnchor>
    <xdr:from>
      <xdr:col>9</xdr:col>
      <xdr:colOff>504825</xdr:colOff>
      <xdr:row>0</xdr:row>
      <xdr:rowOff>342900</xdr:rowOff>
    </xdr:from>
    <xdr:to>
      <xdr:col>11</xdr:col>
      <xdr:colOff>304800</xdr:colOff>
      <xdr:row>3</xdr:row>
      <xdr:rowOff>133350</xdr:rowOff>
    </xdr:to>
    <xdr:sp macro="[0]!Sheet1.新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76BD634-E3CF-4119-A6AE-6436ED07568C}"/>
            </a:ext>
          </a:extLst>
        </xdr:cNvPr>
        <xdr:cNvSpPr/>
      </xdr:nvSpPr>
      <xdr:spPr>
        <a:xfrm>
          <a:off x="7591425" y="342900"/>
          <a:ext cx="1171575" cy="6477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chemeClr val="tx1"/>
              </a:solidFill>
            </a:rPr>
            <a:t>新規</a:t>
          </a:r>
        </a:p>
      </xdr:txBody>
    </xdr:sp>
    <xdr:clientData/>
  </xdr:twoCellAnchor>
  <xdr:twoCellAnchor>
    <xdr:from>
      <xdr:col>7</xdr:col>
      <xdr:colOff>304800</xdr:colOff>
      <xdr:row>4</xdr:row>
      <xdr:rowOff>76200</xdr:rowOff>
    </xdr:from>
    <xdr:to>
      <xdr:col>9</xdr:col>
      <xdr:colOff>104775</xdr:colOff>
      <xdr:row>7</xdr:row>
      <xdr:rowOff>9525</xdr:rowOff>
    </xdr:to>
    <xdr:sp macro="[0]!Sheet1.顧客リスト表示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E7E5EF41-2377-4468-A19E-4FA0E054BD2A}"/>
            </a:ext>
          </a:extLst>
        </xdr:cNvPr>
        <xdr:cNvSpPr/>
      </xdr:nvSpPr>
      <xdr:spPr>
        <a:xfrm>
          <a:off x="6019800" y="1238250"/>
          <a:ext cx="1171575" cy="6477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chemeClr val="tx1"/>
              </a:solidFill>
            </a:rPr>
            <a:t>顧客入力</a:t>
          </a:r>
        </a:p>
      </xdr:txBody>
    </xdr:sp>
    <xdr:clientData/>
  </xdr:twoCellAnchor>
  <xdr:twoCellAnchor>
    <xdr:from>
      <xdr:col>9</xdr:col>
      <xdr:colOff>523875</xdr:colOff>
      <xdr:row>4</xdr:row>
      <xdr:rowOff>95250</xdr:rowOff>
    </xdr:from>
    <xdr:to>
      <xdr:col>11</xdr:col>
      <xdr:colOff>323850</xdr:colOff>
      <xdr:row>7</xdr:row>
      <xdr:rowOff>28575</xdr:rowOff>
    </xdr:to>
    <xdr:sp macro="[0]!Sheet1.商品リスト表示" textlink="">
      <xdr:nvSpPr>
        <xdr:cNvPr id="12" name="四角形: 角を丸くする 11">
          <a:extLst>
            <a:ext uri="{FF2B5EF4-FFF2-40B4-BE49-F238E27FC236}">
              <a16:creationId xmlns:a16="http://schemas.microsoft.com/office/drawing/2014/main" id="{5A49558D-4D2A-4046-8D8B-D83657CF30D6}"/>
            </a:ext>
          </a:extLst>
        </xdr:cNvPr>
        <xdr:cNvSpPr/>
      </xdr:nvSpPr>
      <xdr:spPr>
        <a:xfrm>
          <a:off x="7610475" y="1257300"/>
          <a:ext cx="1171575" cy="6477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chemeClr val="tx1"/>
              </a:solidFill>
            </a:rPr>
            <a:t>商品入力</a:t>
          </a:r>
        </a:p>
      </xdr:txBody>
    </xdr:sp>
    <xdr:clientData/>
  </xdr:twoCellAnchor>
  <xdr:twoCellAnchor>
    <xdr:from>
      <xdr:col>7</xdr:col>
      <xdr:colOff>314325</xdr:colOff>
      <xdr:row>12</xdr:row>
      <xdr:rowOff>0</xdr:rowOff>
    </xdr:from>
    <xdr:to>
      <xdr:col>9</xdr:col>
      <xdr:colOff>114300</xdr:colOff>
      <xdr:row>14</xdr:row>
      <xdr:rowOff>171450</xdr:rowOff>
    </xdr:to>
    <xdr:sp macro="[0]!Sheet1.データ転記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FF13457D-7662-4F31-9E20-1ADE0DFDCA76}"/>
            </a:ext>
          </a:extLst>
        </xdr:cNvPr>
        <xdr:cNvSpPr/>
      </xdr:nvSpPr>
      <xdr:spPr>
        <a:xfrm>
          <a:off x="6029325" y="3295650"/>
          <a:ext cx="1171575" cy="6477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chemeClr val="tx1"/>
              </a:solidFill>
            </a:rPr>
            <a:t>データ転記</a:t>
          </a:r>
        </a:p>
      </xdr:txBody>
    </xdr:sp>
    <xdr:clientData/>
  </xdr:twoCellAnchor>
  <xdr:twoCellAnchor>
    <xdr:from>
      <xdr:col>9</xdr:col>
      <xdr:colOff>533400</xdr:colOff>
      <xdr:row>12</xdr:row>
      <xdr:rowOff>19050</xdr:rowOff>
    </xdr:from>
    <xdr:to>
      <xdr:col>11</xdr:col>
      <xdr:colOff>333375</xdr:colOff>
      <xdr:row>14</xdr:row>
      <xdr:rowOff>190500</xdr:rowOff>
    </xdr:to>
    <xdr:sp macro="[0]!Sheet1.データ検索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5AFD3C9C-2C94-4ABE-BD3F-CA0BE2D69F3E}"/>
            </a:ext>
          </a:extLst>
        </xdr:cNvPr>
        <xdr:cNvSpPr/>
      </xdr:nvSpPr>
      <xdr:spPr>
        <a:xfrm>
          <a:off x="7620000" y="3314700"/>
          <a:ext cx="1171575" cy="6477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chemeClr val="tx1"/>
              </a:solidFill>
            </a:rPr>
            <a:t>データ検索</a:t>
          </a:r>
          <a:endParaRPr kumimoji="1" lang="en-US" altLang="ja-JP" sz="11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F8B36A-EA74-44AD-BC12-4BAE0132BD7F}" name="テーブル1" displayName="テーブル1" ref="A3:E8" totalsRowShown="0" headerRowDxfId="10" dataDxfId="9" tableBorderDxfId="8">
  <autoFilter ref="A3:E8" xr:uid="{61F8B36A-EA74-44AD-BC12-4BAE0132BD7F}"/>
  <tableColumns count="5">
    <tableColumn id="1" xr3:uid="{DB41D635-7C18-467D-8AD6-6F492DB9CB36}" name="取引先NO" dataDxfId="7"/>
    <tableColumn id="2" xr3:uid="{06FDF65F-D7FC-4D1D-AAF5-F4C62D04E102}" name="会社名" dataDxfId="6"/>
    <tableColumn id="3" xr3:uid="{FFBE8303-0505-46FD-92F9-6B46B3A0E2E3}" name="住所" dataDxfId="5"/>
    <tableColumn id="4" xr3:uid="{AF280B58-81FE-4CE4-8C83-EEB41F8496A4}" name="郵便番号" dataDxfId="4"/>
    <tableColumn id="5" xr3:uid="{9A2FEB1F-48F1-4446-B378-5ADF66B8D165}" name="担当者" dataDxfId="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0E65C9-8E6F-461C-B6C3-6533CF7FF3FE}" name="テーブル3" displayName="テーブル3" ref="A3:E44" totalsRowShown="0">
  <autoFilter ref="A3:E44" xr:uid="{5E0E65C9-8E6F-461C-B6C3-6533CF7FF3FE}"/>
  <tableColumns count="5">
    <tableColumn id="1" xr3:uid="{95A7E7D7-C445-4783-9512-457E4EE3EA70}" name="商品NO"/>
    <tableColumn id="2" xr3:uid="{8C1AE59C-10D5-43B2-AB73-1F3357F28256}" name="商品名(商品コード)"/>
    <tableColumn id="3" xr3:uid="{5626D598-7499-444F-903B-8C11ADA7CE79}" name="軽減"/>
    <tableColumn id="5" xr3:uid="{FD6C3C33-3982-4DD4-A75A-BB156C54CC51}" name="単位"/>
    <tableColumn id="4" xr3:uid="{E62B0150-98DA-4EF7-9CE8-1AC72200D5ED}" name="単価" data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A5B44BB-C4DB-4AB2-A572-F2CE8B2F1A0F}" name="テーブル37" displayName="テーブル37" ref="G3:K44" totalsRowShown="0">
  <autoFilter ref="G3:K44" xr:uid="{9A5B44BB-C4DB-4AB2-A572-F2CE8B2F1A0F}"/>
  <tableColumns count="5">
    <tableColumn id="1" xr3:uid="{5A0CA738-4D31-4816-9812-A7ACECE5B5C7}" name="商品NO"/>
    <tableColumn id="2" xr3:uid="{028284EA-75B1-49E2-89BC-06223273E32E}" name="商品名(商品コード)"/>
    <tableColumn id="3" xr3:uid="{2B1A654B-59CC-4811-A4CA-6E05E1CDB1C7}" name="軽減"/>
    <tableColumn id="5" xr3:uid="{C9B2B884-767D-4B47-9722-679BC84710C2}" name="単位"/>
    <tableColumn id="4" xr3:uid="{897B01A7-B873-4C88-AF41-BE380645B04D}" name="単価" dataDxfId="1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7803BA-1B82-4C2B-A473-10BC30AEA056}" name="テーブル39" displayName="テーブル39" ref="M3:Q44" totalsRowShown="0">
  <autoFilter ref="M3:Q44" xr:uid="{077803BA-1B82-4C2B-A473-10BC30AEA056}"/>
  <tableColumns count="5">
    <tableColumn id="1" xr3:uid="{2078F43C-E633-4C3B-8100-5F7786986D99}" name="商品NO"/>
    <tableColumn id="2" xr3:uid="{8EB5F0DE-BB04-4EA5-B2D6-F66BB7A51CCD}" name="商品名(商品コード)"/>
    <tableColumn id="3" xr3:uid="{9EB078B2-93B4-49A6-A01E-843BB216079C}" name="軽減"/>
    <tableColumn id="5" xr3:uid="{466F76E4-3C97-4589-820B-C7AE336781F0}" name="単位"/>
    <tableColumn id="4" xr3:uid="{68B421B2-7556-4C83-89AD-392488153BE2}" name="単価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EEF08-2118-4B2B-880B-629621F13B6A}">
  <sheetPr codeName="Sheet1"/>
  <dimension ref="A1:L38"/>
  <sheetViews>
    <sheetView showGridLines="0" tabSelected="1" zoomScaleNormal="100" workbookViewId="0">
      <selection activeCell="K17" sqref="K17"/>
    </sheetView>
  </sheetViews>
  <sheetFormatPr defaultRowHeight="18.75" x14ac:dyDescent="0.4"/>
  <cols>
    <col min="1" max="1" width="7" customWidth="1"/>
    <col min="2" max="2" width="27.625" customWidth="1"/>
    <col min="3" max="3" width="2.625" customWidth="1"/>
    <col min="4" max="4" width="6.625" customWidth="1"/>
    <col min="5" max="5" width="4.625" customWidth="1"/>
    <col min="6" max="7" width="13.25" customWidth="1"/>
    <col min="10" max="10" width="9" customWidth="1"/>
  </cols>
  <sheetData>
    <row r="1" spans="1:12" ht="30" customHeight="1" x14ac:dyDescent="0.6">
      <c r="A1" s="2" t="s">
        <v>0</v>
      </c>
      <c r="B1" s="3"/>
      <c r="C1" s="3"/>
      <c r="D1" s="3"/>
      <c r="E1" s="3"/>
      <c r="F1" s="3"/>
      <c r="G1" s="3"/>
      <c r="H1" s="12"/>
      <c r="I1" s="12"/>
      <c r="J1" s="12"/>
      <c r="K1" s="12"/>
      <c r="L1" s="12"/>
    </row>
    <row r="2" spans="1:12" x14ac:dyDescent="0.4">
      <c r="A2" s="1"/>
      <c r="B2" s="1"/>
      <c r="C2" s="1"/>
      <c r="D2" s="1"/>
      <c r="E2" s="1"/>
      <c r="F2" s="4" t="s">
        <v>5</v>
      </c>
      <c r="G2" s="62"/>
      <c r="H2" s="12"/>
      <c r="I2" s="12"/>
      <c r="J2" s="12"/>
      <c r="K2" s="12"/>
      <c r="L2" s="12"/>
    </row>
    <row r="3" spans="1:12" x14ac:dyDescent="0.4">
      <c r="A3" s="8"/>
      <c r="F3" s="4" t="s">
        <v>6</v>
      </c>
      <c r="G3" s="63"/>
      <c r="H3" s="12"/>
      <c r="I3" s="12"/>
      <c r="J3" s="12"/>
      <c r="K3" s="12"/>
      <c r="L3" s="12"/>
    </row>
    <row r="4" spans="1:12" ht="24" x14ac:dyDescent="0.4">
      <c r="A4" s="5"/>
      <c r="B4" s="4"/>
      <c r="C4" s="4" t="s">
        <v>1</v>
      </c>
      <c r="H4" s="12"/>
      <c r="I4" s="12"/>
      <c r="J4" s="12"/>
      <c r="K4" s="12"/>
      <c r="L4" s="12"/>
    </row>
    <row r="5" spans="1:12" x14ac:dyDescent="0.4">
      <c r="A5" s="10"/>
      <c r="F5" s="9" t="s">
        <v>7</v>
      </c>
      <c r="H5" s="12"/>
      <c r="I5" s="12"/>
      <c r="J5" s="12"/>
      <c r="K5" s="12"/>
      <c r="L5" s="12"/>
    </row>
    <row r="6" spans="1:12" x14ac:dyDescent="0.4">
      <c r="A6" s="8"/>
      <c r="F6" s="8" t="s">
        <v>8</v>
      </c>
      <c r="H6" s="12"/>
      <c r="I6" s="12"/>
      <c r="J6" s="12"/>
      <c r="K6" s="12"/>
      <c r="L6" s="12"/>
    </row>
    <row r="7" spans="1:12" x14ac:dyDescent="0.4">
      <c r="F7" s="10" t="s">
        <v>9</v>
      </c>
      <c r="H7" s="12"/>
      <c r="I7" s="12"/>
      <c r="J7" s="12"/>
      <c r="K7" s="12"/>
      <c r="L7" s="12"/>
    </row>
    <row r="8" spans="1:12" ht="19.5" thickBot="1" x14ac:dyDescent="0.45">
      <c r="A8" t="s">
        <v>2</v>
      </c>
      <c r="F8" s="10" t="s">
        <v>10</v>
      </c>
      <c r="H8" s="12"/>
      <c r="I8" s="12"/>
      <c r="J8" s="12"/>
      <c r="K8" s="12"/>
      <c r="L8" s="12"/>
    </row>
    <row r="9" spans="1:12" ht="36" thickBot="1" x14ac:dyDescent="0.45">
      <c r="A9" s="69" t="s">
        <v>3</v>
      </c>
      <c r="B9" s="64">
        <f>G35</f>
        <v>0</v>
      </c>
      <c r="C9" s="6"/>
      <c r="D9" s="7" t="s">
        <v>4</v>
      </c>
      <c r="F9" s="11" t="s">
        <v>11</v>
      </c>
      <c r="H9" s="12"/>
      <c r="I9" s="12"/>
      <c r="J9" s="12"/>
      <c r="K9" s="12"/>
      <c r="L9" s="12"/>
    </row>
    <row r="10" spans="1:12" x14ac:dyDescent="0.4">
      <c r="H10" s="12"/>
      <c r="I10" s="12"/>
      <c r="J10" s="12"/>
      <c r="K10" s="12"/>
      <c r="L10" s="12"/>
    </row>
    <row r="11" spans="1:12" x14ac:dyDescent="0.4">
      <c r="A11" s="56" t="s">
        <v>12</v>
      </c>
      <c r="B11" s="58">
        <v>45434</v>
      </c>
      <c r="H11" s="12"/>
      <c r="I11" s="12"/>
      <c r="J11" s="12"/>
      <c r="K11" s="12"/>
      <c r="L11" s="12"/>
    </row>
    <row r="12" spans="1:12" x14ac:dyDescent="0.4">
      <c r="A12" s="57" t="s">
        <v>14</v>
      </c>
      <c r="B12" s="59" t="s">
        <v>15</v>
      </c>
      <c r="H12" s="12"/>
      <c r="I12" s="12"/>
      <c r="J12" s="12"/>
      <c r="K12" s="12"/>
      <c r="L12" s="12"/>
    </row>
    <row r="13" spans="1:12" x14ac:dyDescent="0.4">
      <c r="A13" s="57" t="s">
        <v>13</v>
      </c>
      <c r="B13" s="60"/>
      <c r="H13" s="12"/>
      <c r="I13" s="12"/>
      <c r="J13" s="12"/>
      <c r="K13" s="12"/>
      <c r="L13" s="12"/>
    </row>
    <row r="14" spans="1:12" x14ac:dyDescent="0.4">
      <c r="H14" s="12"/>
      <c r="I14" s="12"/>
      <c r="J14" s="12"/>
      <c r="K14" s="12"/>
      <c r="L14" s="12"/>
    </row>
    <row r="15" spans="1:12" ht="19.5" x14ac:dyDescent="0.4">
      <c r="A15" s="39" t="s">
        <v>83</v>
      </c>
      <c r="B15" s="40" t="s">
        <v>23</v>
      </c>
      <c r="C15" s="65" t="s">
        <v>57</v>
      </c>
      <c r="D15" s="40" t="s">
        <v>24</v>
      </c>
      <c r="E15" s="40" t="s">
        <v>25</v>
      </c>
      <c r="F15" s="40" t="s">
        <v>28</v>
      </c>
      <c r="G15" s="41" t="s">
        <v>29</v>
      </c>
      <c r="H15" s="12"/>
      <c r="I15" s="12"/>
      <c r="J15" s="12"/>
      <c r="K15" s="12"/>
      <c r="L15" s="12"/>
    </row>
    <row r="16" spans="1:12" x14ac:dyDescent="0.4">
      <c r="A16" s="29" t="str">
        <f>IF(B16="","",ROW()-15)</f>
        <v/>
      </c>
      <c r="B16" s="51"/>
      <c r="C16" s="30"/>
      <c r="D16" s="30"/>
      <c r="E16" s="30"/>
      <c r="F16" s="42"/>
      <c r="G16" s="66" t="str">
        <f>IF(B16="","",F16*D16)</f>
        <v/>
      </c>
      <c r="H16" s="12"/>
      <c r="I16" s="12"/>
      <c r="J16" s="12"/>
      <c r="K16" s="80" t="s">
        <v>127</v>
      </c>
      <c r="L16" s="12"/>
    </row>
    <row r="17" spans="1:12" x14ac:dyDescent="0.4">
      <c r="A17" s="17" t="str">
        <f>IF(B17="","",ROW()-15)</f>
        <v/>
      </c>
      <c r="B17" s="52"/>
      <c r="C17" s="16"/>
      <c r="D17" s="16"/>
      <c r="E17" s="16"/>
      <c r="F17" s="43"/>
      <c r="G17" s="44" t="str">
        <f>IF(B17="","",F17*D17)</f>
        <v/>
      </c>
      <c r="H17" s="12"/>
      <c r="I17" s="12"/>
      <c r="J17" s="12"/>
      <c r="K17" s="79"/>
      <c r="L17" s="12"/>
    </row>
    <row r="18" spans="1:12" x14ac:dyDescent="0.4">
      <c r="A18" s="31" t="str">
        <f>IF(B18="","",ROW()-15)</f>
        <v/>
      </c>
      <c r="B18" s="53"/>
      <c r="C18" s="32"/>
      <c r="D18" s="32"/>
      <c r="E18" s="32"/>
      <c r="F18" s="45"/>
      <c r="G18" s="76" t="str">
        <f t="shared" ref="G18:G29" si="0">IF(B18="","",F18*D18)</f>
        <v/>
      </c>
      <c r="H18" s="12"/>
      <c r="I18" s="12"/>
      <c r="J18" s="12"/>
      <c r="K18" s="12"/>
      <c r="L18" s="12"/>
    </row>
    <row r="19" spans="1:12" x14ac:dyDescent="0.4">
      <c r="A19" s="17" t="str">
        <f>IF(B19="","",ROW()-15)</f>
        <v/>
      </c>
      <c r="B19" s="52"/>
      <c r="C19" s="16"/>
      <c r="D19" s="16"/>
      <c r="E19" s="16"/>
      <c r="F19" s="43"/>
      <c r="G19" s="44" t="str">
        <f t="shared" si="0"/>
        <v/>
      </c>
      <c r="H19" s="12"/>
      <c r="I19" s="12"/>
      <c r="J19" s="12"/>
      <c r="K19" s="12"/>
      <c r="L19" s="12"/>
    </row>
    <row r="20" spans="1:12" x14ac:dyDescent="0.4">
      <c r="A20" s="31" t="str">
        <f>IF(B20="","",ROW()-15)</f>
        <v/>
      </c>
      <c r="B20" s="53"/>
      <c r="C20" s="32"/>
      <c r="D20" s="32"/>
      <c r="E20" s="32"/>
      <c r="F20" s="45"/>
      <c r="G20" s="76" t="str">
        <f t="shared" si="0"/>
        <v/>
      </c>
      <c r="H20" s="12"/>
      <c r="I20" s="12"/>
      <c r="J20" s="12"/>
      <c r="K20" s="12"/>
      <c r="L20" s="12"/>
    </row>
    <row r="21" spans="1:12" x14ac:dyDescent="0.4">
      <c r="A21" s="17" t="str">
        <f>IF(B21="","",ROW()-15)</f>
        <v/>
      </c>
      <c r="B21" s="52"/>
      <c r="C21" s="16"/>
      <c r="D21" s="16"/>
      <c r="E21" s="16"/>
      <c r="F21" s="43"/>
      <c r="G21" s="44" t="str">
        <f t="shared" si="0"/>
        <v/>
      </c>
      <c r="H21" s="12"/>
      <c r="I21" s="12"/>
      <c r="J21" s="12"/>
      <c r="K21" s="12"/>
      <c r="L21" s="12"/>
    </row>
    <row r="22" spans="1:12" x14ac:dyDescent="0.4">
      <c r="A22" s="31" t="str">
        <f>IF(B22="","",ROW()-15)</f>
        <v/>
      </c>
      <c r="B22" s="53"/>
      <c r="C22" s="32"/>
      <c r="D22" s="32"/>
      <c r="E22" s="32"/>
      <c r="F22" s="45"/>
      <c r="G22" s="76" t="str">
        <f t="shared" si="0"/>
        <v/>
      </c>
      <c r="H22" s="12"/>
      <c r="I22" s="12"/>
      <c r="J22" s="12"/>
      <c r="K22" s="12"/>
      <c r="L22" s="12"/>
    </row>
    <row r="23" spans="1:12" x14ac:dyDescent="0.4">
      <c r="A23" s="17" t="str">
        <f>IF(B23="","",ROW()-15)</f>
        <v/>
      </c>
      <c r="B23" s="52"/>
      <c r="C23" s="16"/>
      <c r="D23" s="16"/>
      <c r="E23" s="16"/>
      <c r="F23" s="43"/>
      <c r="G23" s="44" t="str">
        <f t="shared" si="0"/>
        <v/>
      </c>
      <c r="H23" s="12"/>
      <c r="I23" s="12"/>
      <c r="J23" s="12"/>
      <c r="K23" s="12"/>
      <c r="L23" s="12"/>
    </row>
    <row r="24" spans="1:12" x14ac:dyDescent="0.4">
      <c r="A24" s="31" t="str">
        <f>IF(B24="","",ROW()-15)</f>
        <v/>
      </c>
      <c r="B24" s="53"/>
      <c r="C24" s="32"/>
      <c r="D24" s="32"/>
      <c r="E24" s="32"/>
      <c r="F24" s="45"/>
      <c r="G24" s="76" t="str">
        <f t="shared" si="0"/>
        <v/>
      </c>
      <c r="H24" s="12"/>
      <c r="I24" s="12"/>
      <c r="J24" s="12"/>
      <c r="K24" s="12"/>
      <c r="L24" s="12"/>
    </row>
    <row r="25" spans="1:12" x14ac:dyDescent="0.4">
      <c r="A25" s="17" t="str">
        <f>IF(B25="","",ROW()-15)</f>
        <v/>
      </c>
      <c r="B25" s="52"/>
      <c r="C25" s="16"/>
      <c r="D25" s="16"/>
      <c r="E25" s="16"/>
      <c r="F25" s="43"/>
      <c r="G25" s="44" t="str">
        <f t="shared" si="0"/>
        <v/>
      </c>
      <c r="H25" s="12"/>
      <c r="I25" s="12"/>
      <c r="J25" s="12"/>
      <c r="K25" s="12"/>
      <c r="L25" s="12"/>
    </row>
    <row r="26" spans="1:12" x14ac:dyDescent="0.4">
      <c r="A26" s="31" t="str">
        <f>IF(B26="","",ROW()-15)</f>
        <v/>
      </c>
      <c r="B26" s="53"/>
      <c r="C26" s="32"/>
      <c r="D26" s="32"/>
      <c r="E26" s="32"/>
      <c r="F26" s="45"/>
      <c r="G26" s="76" t="str">
        <f t="shared" si="0"/>
        <v/>
      </c>
      <c r="H26" s="12"/>
      <c r="I26" s="12"/>
      <c r="J26" s="12"/>
      <c r="K26" s="12"/>
      <c r="L26" s="12"/>
    </row>
    <row r="27" spans="1:12" x14ac:dyDescent="0.4">
      <c r="A27" s="17" t="str">
        <f>IF(B27="","",ROW()-15)</f>
        <v/>
      </c>
      <c r="B27" s="52"/>
      <c r="C27" s="16"/>
      <c r="D27" s="16"/>
      <c r="E27" s="16"/>
      <c r="F27" s="43"/>
      <c r="G27" s="44" t="str">
        <f t="shared" si="0"/>
        <v/>
      </c>
      <c r="H27" s="12"/>
      <c r="I27" s="12"/>
      <c r="J27" s="12"/>
      <c r="K27" s="12"/>
      <c r="L27" s="12"/>
    </row>
    <row r="28" spans="1:12" x14ac:dyDescent="0.4">
      <c r="A28" s="31" t="str">
        <f>IF(B28="","",ROW()-15)</f>
        <v/>
      </c>
      <c r="B28" s="53"/>
      <c r="C28" s="32"/>
      <c r="D28" s="32"/>
      <c r="E28" s="32"/>
      <c r="F28" s="45"/>
      <c r="G28" s="76" t="str">
        <f t="shared" si="0"/>
        <v/>
      </c>
      <c r="H28" s="12"/>
      <c r="I28" s="12"/>
      <c r="J28" s="12"/>
      <c r="K28" s="12"/>
      <c r="L28" s="12"/>
    </row>
    <row r="29" spans="1:12" x14ac:dyDescent="0.4">
      <c r="A29" s="18" t="str">
        <f>IF(B29="","",ROW()-15)</f>
        <v/>
      </c>
      <c r="B29" s="54"/>
      <c r="C29" s="19"/>
      <c r="D29" s="19"/>
      <c r="E29" s="19"/>
      <c r="F29" s="47"/>
      <c r="G29" s="44" t="str">
        <f t="shared" si="0"/>
        <v/>
      </c>
      <c r="H29" s="12"/>
      <c r="I29" s="12"/>
      <c r="J29" s="12"/>
      <c r="K29" s="12"/>
      <c r="L29" s="12"/>
    </row>
    <row r="30" spans="1:12" x14ac:dyDescent="0.4">
      <c r="D30" s="21" t="s">
        <v>16</v>
      </c>
      <c r="E30" s="33"/>
      <c r="F30" s="38">
        <v>0.1</v>
      </c>
      <c r="G30" s="49">
        <f>SUMIF(C16:C29,"‐",G16:G29)</f>
        <v>0</v>
      </c>
      <c r="H30" s="12"/>
      <c r="I30" s="12"/>
      <c r="J30" s="12"/>
      <c r="K30" s="12"/>
      <c r="L30" s="12"/>
    </row>
    <row r="31" spans="1:12" x14ac:dyDescent="0.4">
      <c r="D31" s="20"/>
      <c r="E31" s="34"/>
      <c r="F31" s="35" t="s">
        <v>20</v>
      </c>
      <c r="G31" s="46">
        <f>SUMIF(C16:C29,"※",G16:G29)</f>
        <v>0</v>
      </c>
      <c r="H31" s="12"/>
      <c r="I31" s="12"/>
      <c r="J31" s="12"/>
      <c r="K31" s="12"/>
      <c r="L31" s="12"/>
    </row>
    <row r="32" spans="1:12" x14ac:dyDescent="0.4">
      <c r="D32" s="23" t="s">
        <v>18</v>
      </c>
      <c r="E32" s="22"/>
      <c r="F32" s="16"/>
      <c r="G32" s="44">
        <f>SUM(G30:G31)</f>
        <v>0</v>
      </c>
      <c r="H32" s="12"/>
      <c r="I32" s="12"/>
      <c r="J32" s="12"/>
      <c r="K32" s="12"/>
      <c r="L32" s="12"/>
    </row>
    <row r="33" spans="1:12" x14ac:dyDescent="0.4">
      <c r="D33" s="21" t="s">
        <v>17</v>
      </c>
      <c r="E33" s="34"/>
      <c r="F33" s="37">
        <v>0.1</v>
      </c>
      <c r="G33" s="50">
        <f>G30*1.1</f>
        <v>0</v>
      </c>
      <c r="H33" s="12"/>
      <c r="I33" s="12"/>
      <c r="J33" s="12"/>
      <c r="K33" s="12"/>
      <c r="L33" s="12"/>
    </row>
    <row r="34" spans="1:12" x14ac:dyDescent="0.4">
      <c r="A34" s="8" t="s">
        <v>22</v>
      </c>
      <c r="D34" s="20"/>
      <c r="E34" s="34"/>
      <c r="F34" s="36" t="s">
        <v>20</v>
      </c>
      <c r="G34" s="46">
        <f>G31*1.08</f>
        <v>0</v>
      </c>
      <c r="H34" s="12"/>
      <c r="I34" s="12"/>
      <c r="J34" s="12"/>
      <c r="K34" s="12"/>
      <c r="L34" s="12"/>
    </row>
    <row r="35" spans="1:12" x14ac:dyDescent="0.4">
      <c r="D35" s="24" t="s">
        <v>19</v>
      </c>
      <c r="E35" s="25"/>
      <c r="F35" s="19"/>
      <c r="G35" s="48">
        <f>SUM(G33:G34)</f>
        <v>0</v>
      </c>
      <c r="H35" s="12"/>
      <c r="I35" s="12"/>
      <c r="J35" s="12"/>
      <c r="K35" s="12"/>
      <c r="L35" s="12"/>
    </row>
    <row r="36" spans="1:12" ht="5.85" customHeight="1" x14ac:dyDescent="0.4">
      <c r="H36" s="12"/>
      <c r="I36" s="12"/>
      <c r="J36" s="12"/>
      <c r="K36" s="12"/>
      <c r="L36" s="12"/>
    </row>
    <row r="37" spans="1:12" ht="12.95" customHeight="1" x14ac:dyDescent="0.4">
      <c r="A37" s="26" t="s">
        <v>21</v>
      </c>
      <c r="B37" s="27"/>
      <c r="C37" s="27"/>
      <c r="D37" s="27"/>
      <c r="E37" s="27"/>
      <c r="F37" s="27"/>
      <c r="G37" s="28"/>
      <c r="H37" s="12"/>
      <c r="I37" s="12"/>
      <c r="J37" s="12"/>
      <c r="K37" s="12"/>
      <c r="L37" s="12"/>
    </row>
    <row r="38" spans="1:12" x14ac:dyDescent="0.4">
      <c r="A38" s="13"/>
      <c r="B38" s="14"/>
      <c r="C38" s="14"/>
      <c r="D38" s="14"/>
      <c r="E38" s="14"/>
      <c r="F38" s="14"/>
      <c r="G38" s="15"/>
    </row>
  </sheetData>
  <phoneticPr fontI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CEC-FE15-4317-9183-994A232FFAD2}">
  <sheetPr codeName="Sheet2"/>
  <dimension ref="A1:L14"/>
  <sheetViews>
    <sheetView workbookViewId="0">
      <selection activeCell="A3" sqref="A3"/>
    </sheetView>
  </sheetViews>
  <sheetFormatPr defaultRowHeight="18.75" x14ac:dyDescent="0.4"/>
  <cols>
    <col min="2" max="2" width="12" style="61" customWidth="1"/>
    <col min="3" max="3" width="12.25" customWidth="1"/>
    <col min="4" max="4" width="32.25" customWidth="1"/>
    <col min="5" max="5" width="17.75" customWidth="1"/>
    <col min="6" max="6" width="16" customWidth="1"/>
    <col min="7" max="7" width="28.875" customWidth="1"/>
    <col min="8" max="8" width="4.875" customWidth="1"/>
    <col min="10" max="10" width="5.875" customWidth="1"/>
    <col min="11" max="11" width="14.75" style="77" customWidth="1"/>
    <col min="12" max="12" width="14.75" customWidth="1"/>
  </cols>
  <sheetData>
    <row r="1" spans="1:12" x14ac:dyDescent="0.4">
      <c r="A1" t="s">
        <v>30</v>
      </c>
    </row>
    <row r="3" spans="1:12" x14ac:dyDescent="0.4">
      <c r="A3" s="55" t="s">
        <v>5</v>
      </c>
      <c r="B3" s="55" t="s">
        <v>33</v>
      </c>
      <c r="C3" s="55" t="s">
        <v>34</v>
      </c>
      <c r="D3" s="55" t="s">
        <v>35</v>
      </c>
      <c r="E3" s="55" t="s">
        <v>85</v>
      </c>
      <c r="F3" s="55" t="s">
        <v>84</v>
      </c>
      <c r="G3" s="55" t="s">
        <v>23</v>
      </c>
      <c r="H3" s="55" t="s">
        <v>36</v>
      </c>
      <c r="I3" s="55" t="s">
        <v>24</v>
      </c>
      <c r="J3" s="55" t="s">
        <v>25</v>
      </c>
      <c r="K3" s="78" t="s">
        <v>26</v>
      </c>
      <c r="L3" s="55" t="s">
        <v>27</v>
      </c>
    </row>
    <row r="4" spans="1:12" x14ac:dyDescent="0.4">
      <c r="A4">
        <v>1</v>
      </c>
      <c r="B4" s="61">
        <v>45451</v>
      </c>
      <c r="C4" t="s">
        <v>118</v>
      </c>
      <c r="D4" t="s">
        <v>119</v>
      </c>
      <c r="E4" t="s">
        <v>93</v>
      </c>
      <c r="F4" t="s">
        <v>115</v>
      </c>
      <c r="G4" t="s">
        <v>120</v>
      </c>
      <c r="H4" t="s">
        <v>107</v>
      </c>
      <c r="I4">
        <v>1</v>
      </c>
      <c r="J4" t="s">
        <v>108</v>
      </c>
      <c r="K4" s="77">
        <v>29000</v>
      </c>
    </row>
    <row r="5" spans="1:12" x14ac:dyDescent="0.4">
      <c r="A5">
        <v>1</v>
      </c>
      <c r="B5" s="61">
        <v>45451</v>
      </c>
      <c r="C5" t="s">
        <v>118</v>
      </c>
      <c r="D5" t="s">
        <v>119</v>
      </c>
      <c r="E5" t="s">
        <v>93</v>
      </c>
      <c r="F5" t="s">
        <v>115</v>
      </c>
      <c r="G5" t="s">
        <v>109</v>
      </c>
      <c r="H5" t="s">
        <v>107</v>
      </c>
      <c r="I5">
        <v>1</v>
      </c>
      <c r="J5" t="s">
        <v>108</v>
      </c>
      <c r="K5" s="77">
        <v>75000</v>
      </c>
    </row>
    <row r="6" spans="1:12" x14ac:dyDescent="0.4">
      <c r="A6">
        <v>2</v>
      </c>
      <c r="B6" s="61">
        <v>45451</v>
      </c>
      <c r="C6" t="s">
        <v>121</v>
      </c>
      <c r="D6" t="s">
        <v>122</v>
      </c>
      <c r="E6" t="s">
        <v>93</v>
      </c>
      <c r="F6" t="s">
        <v>113</v>
      </c>
      <c r="G6" t="s">
        <v>70</v>
      </c>
      <c r="H6" t="s">
        <v>75</v>
      </c>
      <c r="I6">
        <v>2</v>
      </c>
      <c r="J6" t="s">
        <v>89</v>
      </c>
      <c r="K6" s="77">
        <v>380</v>
      </c>
    </row>
    <row r="7" spans="1:12" x14ac:dyDescent="0.4">
      <c r="A7">
        <v>2</v>
      </c>
      <c r="B7" s="61">
        <v>45451</v>
      </c>
      <c r="C7" t="s">
        <v>121</v>
      </c>
      <c r="D7" t="s">
        <v>122</v>
      </c>
      <c r="E7" t="s">
        <v>93</v>
      </c>
      <c r="F7" t="s">
        <v>113</v>
      </c>
      <c r="G7" t="s">
        <v>123</v>
      </c>
      <c r="H7" t="s">
        <v>107</v>
      </c>
      <c r="I7">
        <v>1</v>
      </c>
      <c r="J7" t="s">
        <v>124</v>
      </c>
      <c r="K7" s="77">
        <v>3333</v>
      </c>
    </row>
    <row r="8" spans="1:12" x14ac:dyDescent="0.4">
      <c r="A8">
        <v>2</v>
      </c>
      <c r="B8" s="61">
        <v>45451</v>
      </c>
      <c r="C8" t="s">
        <v>121</v>
      </c>
      <c r="D8" t="s">
        <v>122</v>
      </c>
      <c r="E8" t="s">
        <v>93</v>
      </c>
      <c r="F8" t="s">
        <v>113</v>
      </c>
      <c r="G8" t="s">
        <v>125</v>
      </c>
      <c r="H8" t="s">
        <v>107</v>
      </c>
      <c r="I8">
        <v>1</v>
      </c>
      <c r="J8" t="s">
        <v>126</v>
      </c>
      <c r="K8" s="77">
        <v>6666</v>
      </c>
    </row>
    <row r="9" spans="1:12" x14ac:dyDescent="0.4">
      <c r="A9">
        <v>3</v>
      </c>
      <c r="B9" s="61">
        <v>45451</v>
      </c>
      <c r="C9" t="s">
        <v>95</v>
      </c>
      <c r="D9" t="s">
        <v>96</v>
      </c>
      <c r="E9" t="s">
        <v>93</v>
      </c>
      <c r="F9" t="s">
        <v>110</v>
      </c>
      <c r="G9" t="s">
        <v>97</v>
      </c>
      <c r="H9" t="s">
        <v>75</v>
      </c>
      <c r="I9">
        <v>1</v>
      </c>
      <c r="J9" t="s">
        <v>89</v>
      </c>
      <c r="K9" s="77">
        <v>2500</v>
      </c>
    </row>
    <row r="10" spans="1:12" x14ac:dyDescent="0.4">
      <c r="A10">
        <v>3</v>
      </c>
      <c r="B10" s="61">
        <v>45451</v>
      </c>
      <c r="C10" t="s">
        <v>95</v>
      </c>
      <c r="D10" t="s">
        <v>96</v>
      </c>
      <c r="E10" t="s">
        <v>93</v>
      </c>
      <c r="F10" t="s">
        <v>110</v>
      </c>
      <c r="G10" t="s">
        <v>128</v>
      </c>
      <c r="H10" t="s">
        <v>75</v>
      </c>
      <c r="I10">
        <v>1</v>
      </c>
      <c r="J10" t="s">
        <v>89</v>
      </c>
      <c r="K10" s="77">
        <v>520</v>
      </c>
    </row>
    <row r="11" spans="1:12" x14ac:dyDescent="0.4">
      <c r="A11">
        <v>3</v>
      </c>
      <c r="B11" s="61">
        <v>45451</v>
      </c>
      <c r="C11" t="s">
        <v>95</v>
      </c>
      <c r="D11" t="s">
        <v>96</v>
      </c>
      <c r="E11" t="s">
        <v>93</v>
      </c>
      <c r="F11" t="s">
        <v>110</v>
      </c>
      <c r="G11" t="s">
        <v>105</v>
      </c>
      <c r="H11" t="s">
        <v>75</v>
      </c>
      <c r="I11">
        <v>1</v>
      </c>
      <c r="J11" t="s">
        <v>106</v>
      </c>
      <c r="K11" s="77">
        <v>700</v>
      </c>
    </row>
    <row r="12" spans="1:12" x14ac:dyDescent="0.4">
      <c r="A12">
        <v>3</v>
      </c>
      <c r="B12" s="61">
        <v>45451</v>
      </c>
      <c r="C12" t="s">
        <v>95</v>
      </c>
      <c r="D12" t="s">
        <v>96</v>
      </c>
      <c r="E12" t="s">
        <v>93</v>
      </c>
      <c r="F12" t="s">
        <v>110</v>
      </c>
      <c r="G12" t="s">
        <v>70</v>
      </c>
      <c r="H12" t="s">
        <v>75</v>
      </c>
      <c r="I12">
        <v>1</v>
      </c>
      <c r="J12" t="s">
        <v>89</v>
      </c>
      <c r="K12" s="77">
        <v>380</v>
      </c>
    </row>
    <row r="13" spans="1:12" x14ac:dyDescent="0.4">
      <c r="A13">
        <v>3</v>
      </c>
      <c r="B13" s="61">
        <v>45451</v>
      </c>
      <c r="C13" t="s">
        <v>95</v>
      </c>
      <c r="D13" t="s">
        <v>96</v>
      </c>
      <c r="E13" t="s">
        <v>93</v>
      </c>
      <c r="F13" t="s">
        <v>110</v>
      </c>
      <c r="G13" t="s">
        <v>98</v>
      </c>
      <c r="H13" t="s">
        <v>75</v>
      </c>
      <c r="I13">
        <v>1</v>
      </c>
      <c r="J13" t="s">
        <v>99</v>
      </c>
      <c r="K13" s="77">
        <v>1350</v>
      </c>
    </row>
    <row r="14" spans="1:12" x14ac:dyDescent="0.4">
      <c r="A14">
        <v>3</v>
      </c>
      <c r="B14" s="61">
        <v>45451</v>
      </c>
      <c r="C14" t="s">
        <v>95</v>
      </c>
      <c r="D14" t="s">
        <v>96</v>
      </c>
      <c r="E14" t="s">
        <v>93</v>
      </c>
      <c r="F14" t="s">
        <v>110</v>
      </c>
      <c r="G14" t="s">
        <v>129</v>
      </c>
      <c r="H14" t="s">
        <v>107</v>
      </c>
      <c r="I14">
        <v>1</v>
      </c>
      <c r="J14" t="s">
        <v>124</v>
      </c>
      <c r="K14" s="77">
        <v>8000</v>
      </c>
    </row>
  </sheetData>
  <sortState xmlns:xlrd2="http://schemas.microsoft.com/office/spreadsheetml/2017/richdata2" ref="A4:L14">
    <sortCondition ref="A3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E2979-0125-4E2C-B420-D90C92021D6F}">
  <sheetPr codeName="Sheet3"/>
  <dimension ref="A1:E8"/>
  <sheetViews>
    <sheetView workbookViewId="0">
      <selection activeCell="C12" sqref="C12"/>
    </sheetView>
  </sheetViews>
  <sheetFormatPr defaultRowHeight="18.75" x14ac:dyDescent="0.4"/>
  <cols>
    <col min="1" max="1" width="15.625" customWidth="1"/>
    <col min="2" max="2" width="35.625" customWidth="1"/>
    <col min="3" max="3" width="40.625" customWidth="1"/>
    <col min="4" max="5" width="15.625" customWidth="1"/>
  </cols>
  <sheetData>
    <row r="1" spans="1:5" x14ac:dyDescent="0.4">
      <c r="A1" t="s">
        <v>31</v>
      </c>
    </row>
    <row r="3" spans="1:5" x14ac:dyDescent="0.4">
      <c r="A3" s="74" t="s">
        <v>34</v>
      </c>
      <c r="B3" s="74" t="s">
        <v>37</v>
      </c>
      <c r="C3" s="75" t="s">
        <v>84</v>
      </c>
      <c r="D3" s="75" t="s">
        <v>85</v>
      </c>
      <c r="E3" s="74" t="s">
        <v>38</v>
      </c>
    </row>
    <row r="4" spans="1:5" x14ac:dyDescent="0.4">
      <c r="A4" s="70" t="s">
        <v>39</v>
      </c>
      <c r="B4" s="70" t="s">
        <v>44</v>
      </c>
      <c r="C4" s="71" t="s">
        <v>111</v>
      </c>
      <c r="D4" s="71" t="s">
        <v>8</v>
      </c>
      <c r="E4" s="70" t="s">
        <v>49</v>
      </c>
    </row>
    <row r="5" spans="1:5" x14ac:dyDescent="0.4">
      <c r="A5" s="72" t="s">
        <v>40</v>
      </c>
      <c r="B5" s="72" t="s">
        <v>45</v>
      </c>
      <c r="C5" s="73" t="s">
        <v>112</v>
      </c>
      <c r="D5" s="73" t="s">
        <v>93</v>
      </c>
      <c r="E5" s="72" t="s">
        <v>50</v>
      </c>
    </row>
    <row r="6" spans="1:5" x14ac:dyDescent="0.4">
      <c r="A6" s="70" t="s">
        <v>41</v>
      </c>
      <c r="B6" s="70" t="s">
        <v>46</v>
      </c>
      <c r="C6" s="71" t="s">
        <v>114</v>
      </c>
      <c r="D6" s="71" t="s">
        <v>93</v>
      </c>
      <c r="E6" s="70" t="s">
        <v>51</v>
      </c>
    </row>
    <row r="7" spans="1:5" x14ac:dyDescent="0.4">
      <c r="A7" s="72" t="s">
        <v>42</v>
      </c>
      <c r="B7" s="72" t="s">
        <v>47</v>
      </c>
      <c r="C7" s="73" t="s">
        <v>116</v>
      </c>
      <c r="D7" s="73" t="s">
        <v>93</v>
      </c>
      <c r="E7" s="72" t="s">
        <v>52</v>
      </c>
    </row>
    <row r="8" spans="1:5" x14ac:dyDescent="0.4">
      <c r="A8" s="70" t="s">
        <v>43</v>
      </c>
      <c r="B8" s="70" t="s">
        <v>48</v>
      </c>
      <c r="C8" s="71" t="s">
        <v>117</v>
      </c>
      <c r="D8" s="71" t="s">
        <v>93</v>
      </c>
      <c r="E8" s="70" t="s">
        <v>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EDFBE-441F-40BA-9A91-96258C669E94}">
  <sheetPr codeName="Sheet4"/>
  <dimension ref="A1:Q44"/>
  <sheetViews>
    <sheetView workbookViewId="0">
      <selection activeCell="N15" sqref="N15"/>
    </sheetView>
  </sheetViews>
  <sheetFormatPr defaultRowHeight="18.75" x14ac:dyDescent="0.4"/>
  <cols>
    <col min="1" max="1" width="9.25" customWidth="1"/>
    <col min="2" max="2" width="40.625" customWidth="1"/>
    <col min="3" max="4" width="6.5" customWidth="1"/>
    <col min="5" max="5" width="15.625" customWidth="1"/>
    <col min="7" max="7" width="9.25" customWidth="1"/>
    <col min="8" max="8" width="40.625" customWidth="1"/>
    <col min="9" max="10" width="6.5" customWidth="1"/>
    <col min="11" max="11" width="15.625" customWidth="1"/>
    <col min="13" max="13" width="9.25" customWidth="1"/>
    <col min="14" max="14" width="40.625" customWidth="1"/>
    <col min="15" max="16" width="6.5" customWidth="1"/>
    <col min="17" max="17" width="15.625" customWidth="1"/>
  </cols>
  <sheetData>
    <row r="1" spans="1:17" x14ac:dyDescent="0.4">
      <c r="A1" t="s">
        <v>32</v>
      </c>
      <c r="G1" t="s">
        <v>77</v>
      </c>
      <c r="M1" t="s">
        <v>76</v>
      </c>
    </row>
    <row r="2" spans="1:17" x14ac:dyDescent="0.4">
      <c r="A2" t="s">
        <v>78</v>
      </c>
    </row>
    <row r="3" spans="1:17" x14ac:dyDescent="0.4">
      <c r="A3" t="s">
        <v>54</v>
      </c>
      <c r="B3" t="s">
        <v>55</v>
      </c>
      <c r="C3" t="s">
        <v>36</v>
      </c>
      <c r="D3" t="s">
        <v>25</v>
      </c>
      <c r="E3" t="s">
        <v>26</v>
      </c>
      <c r="G3" t="s">
        <v>54</v>
      </c>
      <c r="H3" t="s">
        <v>55</v>
      </c>
      <c r="I3" t="s">
        <v>36</v>
      </c>
      <c r="J3" t="s">
        <v>25</v>
      </c>
      <c r="K3" t="s">
        <v>26</v>
      </c>
      <c r="M3" t="s">
        <v>54</v>
      </c>
      <c r="N3" t="s">
        <v>55</v>
      </c>
      <c r="O3" t="s">
        <v>36</v>
      </c>
      <c r="P3" t="s">
        <v>25</v>
      </c>
      <c r="Q3" t="s">
        <v>26</v>
      </c>
    </row>
    <row r="4" spans="1:17" x14ac:dyDescent="0.4">
      <c r="A4" t="s">
        <v>59</v>
      </c>
      <c r="B4" t="s">
        <v>58</v>
      </c>
      <c r="C4" t="s">
        <v>56</v>
      </c>
      <c r="D4" t="s">
        <v>90</v>
      </c>
      <c r="E4" s="67">
        <v>2500</v>
      </c>
      <c r="G4" t="s">
        <v>65</v>
      </c>
      <c r="H4" t="s">
        <v>73</v>
      </c>
      <c r="I4" t="s">
        <v>94</v>
      </c>
      <c r="J4" t="s">
        <v>87</v>
      </c>
      <c r="K4" s="67">
        <v>3333</v>
      </c>
      <c r="M4" t="s">
        <v>67</v>
      </c>
      <c r="N4" t="s">
        <v>68</v>
      </c>
      <c r="O4" t="s">
        <v>94</v>
      </c>
      <c r="P4" t="s">
        <v>86</v>
      </c>
      <c r="Q4" s="67">
        <v>29000</v>
      </c>
    </row>
    <row r="5" spans="1:17" x14ac:dyDescent="0.4">
      <c r="A5" t="s">
        <v>61</v>
      </c>
      <c r="B5" t="s">
        <v>60</v>
      </c>
      <c r="C5" t="s">
        <v>56</v>
      </c>
      <c r="D5" t="s">
        <v>90</v>
      </c>
      <c r="E5" s="67">
        <v>520</v>
      </c>
      <c r="G5" t="s">
        <v>66</v>
      </c>
      <c r="H5" t="s">
        <v>74</v>
      </c>
      <c r="I5" t="s">
        <v>94</v>
      </c>
      <c r="J5" t="s">
        <v>88</v>
      </c>
      <c r="K5" s="67">
        <v>6666</v>
      </c>
      <c r="M5" t="s">
        <v>80</v>
      </c>
      <c r="N5" s="68" t="s">
        <v>79</v>
      </c>
      <c r="O5" t="s">
        <v>94</v>
      </c>
      <c r="P5" t="s">
        <v>86</v>
      </c>
      <c r="Q5" s="67">
        <v>75000</v>
      </c>
    </row>
    <row r="6" spans="1:17" x14ac:dyDescent="0.4">
      <c r="A6" t="s">
        <v>62</v>
      </c>
      <c r="B6" t="s">
        <v>69</v>
      </c>
      <c r="C6" t="s">
        <v>56</v>
      </c>
      <c r="D6" t="s">
        <v>92</v>
      </c>
      <c r="E6" s="67">
        <v>700</v>
      </c>
      <c r="G6" t="s">
        <v>82</v>
      </c>
      <c r="H6" t="s">
        <v>81</v>
      </c>
      <c r="I6" t="s">
        <v>94</v>
      </c>
      <c r="J6" t="s">
        <v>87</v>
      </c>
      <c r="K6" s="67">
        <v>8000</v>
      </c>
      <c r="N6" t="s">
        <v>100</v>
      </c>
      <c r="Q6" s="67">
        <v>1</v>
      </c>
    </row>
    <row r="7" spans="1:17" x14ac:dyDescent="0.4">
      <c r="A7" t="s">
        <v>63</v>
      </c>
      <c r="B7" t="s">
        <v>71</v>
      </c>
      <c r="C7" t="s">
        <v>56</v>
      </c>
      <c r="D7" t="s">
        <v>90</v>
      </c>
      <c r="E7" s="67">
        <v>380</v>
      </c>
      <c r="K7" s="67"/>
      <c r="N7" t="s">
        <v>101</v>
      </c>
      <c r="Q7" s="67">
        <v>1</v>
      </c>
    </row>
    <row r="8" spans="1:17" x14ac:dyDescent="0.4">
      <c r="A8" t="s">
        <v>64</v>
      </c>
      <c r="B8" t="s">
        <v>72</v>
      </c>
      <c r="C8" t="s">
        <v>56</v>
      </c>
      <c r="D8" t="s">
        <v>91</v>
      </c>
      <c r="E8" s="67">
        <v>1350</v>
      </c>
      <c r="K8" s="67"/>
      <c r="N8" t="s">
        <v>102</v>
      </c>
      <c r="Q8" s="67">
        <v>1</v>
      </c>
    </row>
    <row r="9" spans="1:17" x14ac:dyDescent="0.4">
      <c r="E9" s="67"/>
      <c r="K9" s="67"/>
      <c r="N9" t="s">
        <v>103</v>
      </c>
      <c r="Q9" s="67">
        <v>1</v>
      </c>
    </row>
    <row r="10" spans="1:17" x14ac:dyDescent="0.4">
      <c r="E10" s="67"/>
      <c r="K10" s="67"/>
      <c r="N10" t="s">
        <v>104</v>
      </c>
      <c r="Q10" s="67">
        <v>1</v>
      </c>
    </row>
    <row r="11" spans="1:17" x14ac:dyDescent="0.4">
      <c r="E11" s="67"/>
      <c r="K11" s="67"/>
      <c r="Q11" s="67"/>
    </row>
    <row r="12" spans="1:17" x14ac:dyDescent="0.4">
      <c r="A12">
        <v>9</v>
      </c>
      <c r="E12" s="67"/>
      <c r="G12">
        <v>9</v>
      </c>
      <c r="K12" s="67"/>
      <c r="M12">
        <v>9</v>
      </c>
      <c r="Q12" s="67"/>
    </row>
    <row r="13" spans="1:17" x14ac:dyDescent="0.4">
      <c r="A13">
        <v>10</v>
      </c>
      <c r="E13" s="67"/>
      <c r="G13">
        <v>10</v>
      </c>
      <c r="K13" s="67"/>
      <c r="M13">
        <v>10</v>
      </c>
      <c r="Q13" s="67"/>
    </row>
    <row r="14" spans="1:17" x14ac:dyDescent="0.4">
      <c r="A14">
        <v>11</v>
      </c>
      <c r="E14" s="67"/>
      <c r="G14">
        <v>11</v>
      </c>
      <c r="K14" s="67"/>
      <c r="M14">
        <v>11</v>
      </c>
      <c r="Q14" s="67"/>
    </row>
    <row r="15" spans="1:17" x14ac:dyDescent="0.4">
      <c r="A15">
        <v>12</v>
      </c>
      <c r="E15" s="67"/>
      <c r="G15">
        <v>12</v>
      </c>
      <c r="K15" s="67"/>
      <c r="M15">
        <v>12</v>
      </c>
      <c r="Q15" s="67"/>
    </row>
    <row r="16" spans="1:17" x14ac:dyDescent="0.4">
      <c r="A16">
        <v>13</v>
      </c>
      <c r="E16" s="67"/>
      <c r="G16">
        <v>13</v>
      </c>
      <c r="K16" s="67"/>
      <c r="M16">
        <v>13</v>
      </c>
      <c r="Q16" s="67"/>
    </row>
    <row r="17" spans="1:17" x14ac:dyDescent="0.4">
      <c r="A17">
        <v>14</v>
      </c>
      <c r="E17" s="67"/>
      <c r="G17">
        <v>14</v>
      </c>
      <c r="K17" s="67"/>
      <c r="M17">
        <v>14</v>
      </c>
      <c r="Q17" s="67"/>
    </row>
    <row r="18" spans="1:17" x14ac:dyDescent="0.4">
      <c r="A18">
        <v>15</v>
      </c>
      <c r="E18" s="67"/>
      <c r="G18">
        <v>15</v>
      </c>
      <c r="K18" s="67"/>
      <c r="M18">
        <v>15</v>
      </c>
      <c r="Q18" s="67"/>
    </row>
    <row r="19" spans="1:17" x14ac:dyDescent="0.4">
      <c r="A19">
        <v>16</v>
      </c>
      <c r="E19" s="67"/>
      <c r="G19">
        <v>16</v>
      </c>
      <c r="K19" s="67"/>
      <c r="M19">
        <v>16</v>
      </c>
      <c r="Q19" s="67"/>
    </row>
    <row r="20" spans="1:17" x14ac:dyDescent="0.4">
      <c r="A20">
        <v>17</v>
      </c>
      <c r="E20" s="67"/>
      <c r="G20">
        <v>17</v>
      </c>
      <c r="K20" s="67"/>
      <c r="M20">
        <v>17</v>
      </c>
      <c r="Q20" s="67"/>
    </row>
    <row r="21" spans="1:17" x14ac:dyDescent="0.4">
      <c r="A21">
        <v>18</v>
      </c>
      <c r="E21" s="67"/>
      <c r="G21">
        <v>18</v>
      </c>
      <c r="K21" s="67"/>
      <c r="M21">
        <v>18</v>
      </c>
      <c r="Q21" s="67"/>
    </row>
    <row r="22" spans="1:17" x14ac:dyDescent="0.4">
      <c r="A22">
        <v>19</v>
      </c>
      <c r="E22" s="67"/>
      <c r="G22">
        <v>19</v>
      </c>
      <c r="K22" s="67"/>
      <c r="M22">
        <v>19</v>
      </c>
      <c r="Q22" s="67"/>
    </row>
    <row r="23" spans="1:17" x14ac:dyDescent="0.4">
      <c r="A23">
        <v>20</v>
      </c>
      <c r="E23" s="67"/>
      <c r="G23">
        <v>20</v>
      </c>
      <c r="K23" s="67"/>
      <c r="M23">
        <v>20</v>
      </c>
      <c r="Q23" s="67"/>
    </row>
    <row r="24" spans="1:17" x14ac:dyDescent="0.4">
      <c r="A24">
        <v>21</v>
      </c>
      <c r="E24" s="67"/>
      <c r="G24">
        <v>21</v>
      </c>
      <c r="K24" s="67"/>
      <c r="M24">
        <v>21</v>
      </c>
      <c r="Q24" s="67"/>
    </row>
    <row r="25" spans="1:17" x14ac:dyDescent="0.4">
      <c r="A25">
        <v>22</v>
      </c>
      <c r="E25" s="67"/>
      <c r="G25">
        <v>22</v>
      </c>
      <c r="K25" s="67"/>
      <c r="M25">
        <v>22</v>
      </c>
      <c r="Q25" s="67"/>
    </row>
    <row r="26" spans="1:17" x14ac:dyDescent="0.4">
      <c r="A26">
        <v>23</v>
      </c>
      <c r="E26" s="67"/>
      <c r="G26">
        <v>23</v>
      </c>
      <c r="K26" s="67"/>
      <c r="M26">
        <v>23</v>
      </c>
      <c r="Q26" s="67"/>
    </row>
    <row r="27" spans="1:17" x14ac:dyDescent="0.4">
      <c r="A27">
        <v>24</v>
      </c>
      <c r="E27" s="67"/>
      <c r="G27">
        <v>24</v>
      </c>
      <c r="K27" s="67"/>
      <c r="M27">
        <v>24</v>
      </c>
      <c r="Q27" s="67"/>
    </row>
    <row r="28" spans="1:17" x14ac:dyDescent="0.4">
      <c r="A28">
        <v>25</v>
      </c>
      <c r="E28" s="67"/>
      <c r="G28">
        <v>25</v>
      </c>
      <c r="K28" s="67"/>
      <c r="M28">
        <v>25</v>
      </c>
      <c r="Q28" s="67"/>
    </row>
    <row r="29" spans="1:17" x14ac:dyDescent="0.4">
      <c r="A29">
        <v>26</v>
      </c>
      <c r="E29" s="67"/>
      <c r="G29">
        <v>26</v>
      </c>
      <c r="K29" s="67"/>
      <c r="M29">
        <v>26</v>
      </c>
      <c r="Q29" s="67"/>
    </row>
    <row r="30" spans="1:17" x14ac:dyDescent="0.4">
      <c r="A30">
        <v>27</v>
      </c>
      <c r="E30" s="67"/>
      <c r="G30">
        <v>27</v>
      </c>
      <c r="K30" s="67"/>
      <c r="M30">
        <v>27</v>
      </c>
      <c r="Q30" s="67"/>
    </row>
    <row r="31" spans="1:17" x14ac:dyDescent="0.4">
      <c r="A31">
        <v>28</v>
      </c>
      <c r="E31" s="67"/>
      <c r="G31">
        <v>28</v>
      </c>
      <c r="K31" s="67"/>
      <c r="M31">
        <v>28</v>
      </c>
      <c r="Q31" s="67"/>
    </row>
    <row r="32" spans="1:17" x14ac:dyDescent="0.4">
      <c r="A32">
        <v>29</v>
      </c>
      <c r="E32" s="67"/>
      <c r="G32">
        <v>29</v>
      </c>
      <c r="K32" s="67"/>
      <c r="M32">
        <v>29</v>
      </c>
      <c r="Q32" s="67"/>
    </row>
    <row r="33" spans="1:17" x14ac:dyDescent="0.4">
      <c r="A33">
        <v>30</v>
      </c>
      <c r="E33" s="67"/>
      <c r="G33">
        <v>30</v>
      </c>
      <c r="K33" s="67"/>
      <c r="M33">
        <v>30</v>
      </c>
      <c r="Q33" s="67"/>
    </row>
    <row r="34" spans="1:17" x14ac:dyDescent="0.4">
      <c r="A34">
        <v>31</v>
      </c>
      <c r="E34" s="67"/>
      <c r="G34">
        <v>31</v>
      </c>
      <c r="K34" s="67"/>
      <c r="M34">
        <v>31</v>
      </c>
      <c r="Q34" s="67"/>
    </row>
    <row r="35" spans="1:17" x14ac:dyDescent="0.4">
      <c r="A35">
        <v>32</v>
      </c>
      <c r="E35" s="67"/>
      <c r="G35">
        <v>32</v>
      </c>
      <c r="K35" s="67"/>
      <c r="M35">
        <v>32</v>
      </c>
      <c r="Q35" s="67"/>
    </row>
    <row r="36" spans="1:17" x14ac:dyDescent="0.4">
      <c r="A36">
        <v>33</v>
      </c>
      <c r="E36" s="67"/>
      <c r="G36">
        <v>33</v>
      </c>
      <c r="K36" s="67"/>
      <c r="M36">
        <v>33</v>
      </c>
      <c r="Q36" s="67"/>
    </row>
    <row r="37" spans="1:17" x14ac:dyDescent="0.4">
      <c r="A37">
        <v>34</v>
      </c>
      <c r="E37" s="67"/>
      <c r="G37">
        <v>34</v>
      </c>
      <c r="K37" s="67"/>
      <c r="M37">
        <v>34</v>
      </c>
      <c r="Q37" s="67"/>
    </row>
    <row r="38" spans="1:17" x14ac:dyDescent="0.4">
      <c r="A38">
        <v>35</v>
      </c>
      <c r="E38" s="67"/>
      <c r="G38">
        <v>35</v>
      </c>
      <c r="K38" s="67"/>
      <c r="M38">
        <v>35</v>
      </c>
      <c r="Q38" s="67"/>
    </row>
    <row r="39" spans="1:17" x14ac:dyDescent="0.4">
      <c r="A39">
        <v>36</v>
      </c>
      <c r="E39" s="67"/>
      <c r="G39">
        <v>36</v>
      </c>
      <c r="K39" s="67"/>
      <c r="M39">
        <v>36</v>
      </c>
      <c r="Q39" s="67"/>
    </row>
    <row r="40" spans="1:17" x14ac:dyDescent="0.4">
      <c r="A40">
        <v>37</v>
      </c>
      <c r="E40" s="67"/>
      <c r="G40">
        <v>37</v>
      </c>
      <c r="K40" s="67"/>
      <c r="M40">
        <v>37</v>
      </c>
      <c r="Q40" s="67"/>
    </row>
    <row r="41" spans="1:17" x14ac:dyDescent="0.4">
      <c r="A41">
        <v>38</v>
      </c>
      <c r="E41" s="67"/>
      <c r="G41">
        <v>38</v>
      </c>
      <c r="K41" s="67"/>
      <c r="M41">
        <v>38</v>
      </c>
      <c r="Q41" s="67"/>
    </row>
    <row r="42" spans="1:17" x14ac:dyDescent="0.4">
      <c r="A42">
        <v>39</v>
      </c>
      <c r="E42" s="67"/>
      <c r="G42">
        <v>39</v>
      </c>
      <c r="K42" s="67"/>
      <c r="M42">
        <v>39</v>
      </c>
      <c r="Q42" s="67"/>
    </row>
    <row r="43" spans="1:17" x14ac:dyDescent="0.4">
      <c r="A43">
        <v>40</v>
      </c>
      <c r="E43" s="67"/>
      <c r="G43">
        <v>40</v>
      </c>
      <c r="K43" s="67"/>
      <c r="M43">
        <v>40</v>
      </c>
      <c r="Q43" s="67"/>
    </row>
    <row r="44" spans="1:17" x14ac:dyDescent="0.4">
      <c r="A44">
        <v>41</v>
      </c>
      <c r="E44" s="67"/>
      <c r="G44">
        <v>41</v>
      </c>
      <c r="K44" s="67"/>
      <c r="M44">
        <v>41</v>
      </c>
      <c r="Q44" s="67"/>
    </row>
  </sheetData>
  <phoneticPr fontId="1"/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見積書</vt:lpstr>
      <vt:lpstr>見積一覧</vt:lpstr>
      <vt:lpstr>顧客マスタ</vt:lpstr>
      <vt:lpstr>商品マスタ</vt:lpstr>
      <vt:lpstr>グッズリスト</vt:lpstr>
      <vt:lpstr>家電リスト</vt:lpstr>
      <vt:lpstr>検索NO</vt:lpstr>
      <vt:lpstr>見積NO</vt:lpstr>
      <vt:lpstr>顧客リスト</vt:lpstr>
      <vt:lpstr>食品リスト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寛行 熊谷</dc:creator>
  <cp:lastModifiedBy>寛行 熊谷</cp:lastModifiedBy>
  <cp:lastPrinted>2024-06-07T01:29:06Z</cp:lastPrinted>
  <dcterms:created xsi:type="dcterms:W3CDTF">2024-06-03T13:38:50Z</dcterms:created>
  <dcterms:modified xsi:type="dcterms:W3CDTF">2024-06-08T03:00:30Z</dcterms:modified>
</cp:coreProperties>
</file>